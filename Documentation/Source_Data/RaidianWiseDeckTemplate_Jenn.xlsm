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ksprinkle\Dropbox\Kelly Personal Projects\"/>
    </mc:Choice>
  </mc:AlternateContent>
  <xr:revisionPtr revIDLastSave="0" documentId="13_ncr:1_{D575E84F-3361-4A16-80CA-00B3F3C2BF1B}" xr6:coauthVersionLast="47" xr6:coauthVersionMax="47" xr10:uidLastSave="{00000000-0000-0000-0000-000000000000}"/>
  <bookViews>
    <workbookView xWindow="8820" yWindow="360" windowWidth="13425" windowHeight="11385" activeTab="1" xr2:uid="{193F2B95-E278-4682-801C-593E75CC4C37}"/>
  </bookViews>
  <sheets>
    <sheet name="Katchina Knife Layout" sheetId="2" r:id="rId1"/>
    <sheet name="Card Key" sheetId="1" r:id="rId2"/>
  </sheets>
  <definedNames>
    <definedName name="_xlnm.Print_Area" localSheetId="0">'Katchina Knife Layout'!$B$1:$E$8</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2" l="1"/>
  <c r="H4" i="2"/>
  <c r="H5" i="2"/>
  <c r="H6" i="2"/>
  <c r="H7" i="2"/>
  <c r="H8" i="2"/>
  <c r="G3" i="2"/>
  <c r="G4" i="2"/>
  <c r="G5" i="2"/>
  <c r="G6" i="2"/>
  <c r="G7" i="2"/>
  <c r="G8" i="2"/>
  <c r="F4" i="2"/>
  <c r="F5" i="2"/>
  <c r="F6" i="2"/>
  <c r="F7" i="2"/>
  <c r="F8" i="2"/>
  <c r="F3" i="2"/>
  <c r="F2" i="2"/>
  <c r="E9" i="2"/>
  <c r="E10" i="2"/>
  <c r="E1" i="2"/>
  <c r="E3" i="2" l="1"/>
  <c r="E8" i="2"/>
  <c r="E7" i="2"/>
  <c r="E6" i="2"/>
  <c r="E5" i="2"/>
  <c r="E4" i="2"/>
  <c r="M14" i="1" l="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2" i="1"/>
  <c r="M3" i="1"/>
  <c r="M4" i="1"/>
  <c r="M5" i="1"/>
  <c r="M6" i="1"/>
  <c r="M7" i="1"/>
  <c r="M8" i="1"/>
  <c r="M9" i="1"/>
  <c r="M10" i="1"/>
  <c r="M11" i="1"/>
  <c r="M12" i="1"/>
  <c r="M13" i="1"/>
  <c r="W13" i="1"/>
  <c r="H2" i="2"/>
  <c r="E2" i="2" s="1"/>
  <c r="W3" i="1"/>
  <c r="W4" i="1"/>
  <c r="W5" i="1"/>
  <c r="W6" i="1"/>
  <c r="W7" i="1"/>
  <c r="W8" i="1"/>
  <c r="W9" i="1"/>
  <c r="W10" i="1"/>
  <c r="W11" i="1"/>
  <c r="W12"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2" i="1"/>
  <c r="G2" i="2"/>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2" i="1"/>
</calcChain>
</file>

<file path=xl/sharedStrings.xml><?xml version="1.0" encoding="utf-8"?>
<sst xmlns="http://schemas.openxmlformats.org/spreadsheetml/2006/main" count="1529" uniqueCount="831">
  <si>
    <t>Card Group</t>
  </si>
  <si>
    <t>Group Representation</t>
  </si>
  <si>
    <t>Major Arcana</t>
  </si>
  <si>
    <t>0 of Fool is the card of Innocence, freedom, spontaneity, a free spirit, new beginning, desire to start. The young fool is holding a white rose that depicts his innocence. He is embarking on a new journey of personal growth but he is unaware of the challenges that have yet to come. He is full of vitality, energy, and confidence.</t>
  </si>
  <si>
    <t>Fool</t>
  </si>
  <si>
    <t>Magician</t>
  </si>
  <si>
    <t>High Preistess</t>
  </si>
  <si>
    <t>Empress</t>
  </si>
  <si>
    <t>Emperor</t>
  </si>
  <si>
    <t>Hierophant</t>
  </si>
  <si>
    <t>Lovers</t>
  </si>
  <si>
    <t>Chariot</t>
  </si>
  <si>
    <t>Strength</t>
  </si>
  <si>
    <t>Hermit</t>
  </si>
  <si>
    <t>Wheel of Fortune</t>
  </si>
  <si>
    <t>Hanged Man</t>
  </si>
  <si>
    <t>Death</t>
  </si>
  <si>
    <t>Tower</t>
  </si>
  <si>
    <t>Star</t>
  </si>
  <si>
    <t>Sun</t>
  </si>
  <si>
    <t>Judgement</t>
  </si>
  <si>
    <t>World</t>
  </si>
  <si>
    <t>Minor Arcana</t>
  </si>
  <si>
    <t>All Minor cards are indicitive of choice and indicate an element.</t>
  </si>
  <si>
    <t>Minor Court</t>
  </si>
  <si>
    <t xml:space="preserve">8 of Swords is the card of </t>
  </si>
  <si>
    <t xml:space="preserve">9 of Swords is the card of </t>
  </si>
  <si>
    <t xml:space="preserve">10 of Swords is the card of </t>
  </si>
  <si>
    <t xml:space="preserve">King/Father of Swords is the card of </t>
  </si>
  <si>
    <t xml:space="preserve">Queen/Mother of Swords is the card of </t>
  </si>
  <si>
    <t xml:space="preserve">Knight/Young Adult of Swords is the card of </t>
  </si>
  <si>
    <t xml:space="preserve">Page/Child of Swords is the card of </t>
  </si>
  <si>
    <t xml:space="preserve">Ace of Pentacles is the card of </t>
  </si>
  <si>
    <t xml:space="preserve">2 of Pentacles is the card of </t>
  </si>
  <si>
    <t xml:space="preserve">3 of Pentacles is the card of </t>
  </si>
  <si>
    <t xml:space="preserve">4 of Pentacles is the card of </t>
  </si>
  <si>
    <t xml:space="preserve">5 of Pentacles is the card of </t>
  </si>
  <si>
    <t xml:space="preserve">6 of Pentacles is the card of </t>
  </si>
  <si>
    <t xml:space="preserve">7 of Pentacles is the card of </t>
  </si>
  <si>
    <t xml:space="preserve">8 of Pentacles is the card of </t>
  </si>
  <si>
    <t xml:space="preserve">9 of Pentacles is the card of </t>
  </si>
  <si>
    <t xml:space="preserve">10 of Pentacles is the card of </t>
  </si>
  <si>
    <t xml:space="preserve">King/Father of Pentacles is the card of </t>
  </si>
  <si>
    <t xml:space="preserve">Queen/Mother of Pentacles is the card of </t>
  </si>
  <si>
    <t xml:space="preserve">Knight/Young Adult of Pentacles is the card of </t>
  </si>
  <si>
    <t xml:space="preserve">Page/Child of Pentacles is the card of </t>
  </si>
  <si>
    <t>Indicitive of</t>
  </si>
  <si>
    <t>New beginnings, quest for knowledge</t>
  </si>
  <si>
    <t>Power and perception - breakthrough</t>
  </si>
  <si>
    <t>Strong destiny</t>
  </si>
  <si>
    <t>Abundant harvest</t>
  </si>
  <si>
    <t>Power and Domination, Patriarchy, material power, protection.</t>
  </si>
  <si>
    <t>Structure, connects Wisdom and Mercy</t>
  </si>
  <si>
    <t>Love and Harmony</t>
  </si>
  <si>
    <t>Clear path</t>
  </si>
  <si>
    <t>Strength and Power - Balance</t>
  </si>
  <si>
    <t>Inner quest</t>
  </si>
  <si>
    <t>Expansion, Luck</t>
  </si>
  <si>
    <t>Truth - Lust for Life</t>
  </si>
  <si>
    <t>Stuck, Surrender</t>
  </si>
  <si>
    <t>Ending, Transformation</t>
  </si>
  <si>
    <t>Artistic creativity</t>
  </si>
  <si>
    <t>Confusion, deceit</t>
  </si>
  <si>
    <t>Radical change</t>
  </si>
  <si>
    <t>Self-realization, healing</t>
  </si>
  <si>
    <t>Evolution, gradual change</t>
  </si>
  <si>
    <t>Success, Radiance</t>
  </si>
  <si>
    <t>Rebirth</t>
  </si>
  <si>
    <t>Unlimited wonder</t>
  </si>
  <si>
    <t>Set goals</t>
  </si>
  <si>
    <t>Virtuous actions</t>
  </si>
  <si>
    <t>Completed projects</t>
  </si>
  <si>
    <t>Strife</t>
  </si>
  <si>
    <t>Victory</t>
  </si>
  <si>
    <t>Valor yet struggle</t>
  </si>
  <si>
    <t>Swiftness</t>
  </si>
  <si>
    <t>Strength, holding your ground</t>
  </si>
  <si>
    <t>Oppression</t>
  </si>
  <si>
    <t>Strength, Respect, Successful enterprise</t>
  </si>
  <si>
    <t>Express your creativity and power</t>
  </si>
  <si>
    <t>The path ahead is clear for dynamic action</t>
  </si>
  <si>
    <t>Good luck, Opportunities, Gain -(prince)Goals can be attained but it is best to act swiftly, (princess) Lighten up, Dance and Celebrate</t>
  </si>
  <si>
    <t>Intuit, feel</t>
  </si>
  <si>
    <t>Love, partnership amongst equals</t>
  </si>
  <si>
    <t>Emotional abundance</t>
  </si>
  <si>
    <t>Rejection-Luxury, excess</t>
  </si>
  <si>
    <t>Dissappointment, depression</t>
  </si>
  <si>
    <t>Pleasure, Joy</t>
  </si>
  <si>
    <t>Debauchery, Chaos</t>
  </si>
  <si>
    <t>Indolence, Laziness</t>
  </si>
  <si>
    <t>Happiness</t>
  </si>
  <si>
    <t>Satisfaction, Contentment</t>
  </si>
  <si>
    <t>Kindness, Charity, Artistic potential</t>
  </si>
  <si>
    <t>Emotional maturity, Trust and follow your intuition</t>
  </si>
  <si>
    <t>Fortune, Advancement, Salvation</t>
  </si>
  <si>
    <t>Good Luck, Fortunate news, Opportunity-(prince) Transformation, Dive through levels of perception, (princess) Creaive, Simple, Playful, Free spirit</t>
  </si>
  <si>
    <t>Think</t>
  </si>
  <si>
    <t>Peace of mind</t>
  </si>
  <si>
    <t>Sorry due to loss</t>
  </si>
  <si>
    <t>Truce and rest</t>
  </si>
  <si>
    <t>Defeat</t>
  </si>
  <si>
    <t>Science, Balance</t>
  </si>
  <si>
    <t>Futility, Theft</t>
  </si>
  <si>
    <t>Interference, Confusion Negative thoughts, self-imposed restriction, imprisonment, victim mentality</t>
  </si>
  <si>
    <t>Self-inflicted crelty</t>
  </si>
  <si>
    <t>Ruin</t>
  </si>
  <si>
    <t>Focused and directed ideas; very mental</t>
  </si>
  <si>
    <t>Intelligence, Keen perception; a person alone</t>
  </si>
  <si>
    <t>Ideas, Conflict, Options; network and brainstorm</t>
  </si>
  <si>
    <t>Reaction, Defense; methods are harsh and stormy, (prince) Clear, Consistent, Sharp, Focused, (princess) Allow strife, troubles and worry to collapse</t>
  </si>
  <si>
    <t>Manifestation, Money</t>
  </si>
  <si>
    <t>Change</t>
  </si>
  <si>
    <t>Good work, Hard work</t>
  </si>
  <si>
    <t>Greed-Power foundation</t>
  </si>
  <si>
    <t>Worry, Poverty</t>
  </si>
  <si>
    <t>Success</t>
  </si>
  <si>
    <t>Delayed success, Failure</t>
  </si>
  <si>
    <t>Prudence, Pragmatism</t>
  </si>
  <si>
    <t>Gain</t>
  </si>
  <si>
    <t>Wealth</t>
  </si>
  <si>
    <t>Money connected, Solid as a rock, Reliable, Strong</t>
  </si>
  <si>
    <t>Prosperity, Wealth, Security, Comfort</t>
  </si>
  <si>
    <t>Stagnation, Lull in activities, fallow fields</t>
  </si>
  <si>
    <t>Prosperity, learning how the material world functions, (prince) Solid and reliable in practical matters, Order, (princess) Apprenticeship, New learning, Practical craft for trade</t>
  </si>
  <si>
    <t>Divinatory Meaning</t>
  </si>
  <si>
    <t xml:space="preserve">Now is the time to take a risk or seek adventure because you are guided by faith, folly, or fancy.  Be open to new opportunities. Those who are uncomfortable with change may dislike experiencing th eFOOL card because they are not used to freedom and taking creative risks with an unknown outcome.  </t>
  </si>
  <si>
    <t>You are completely powerful and can manifest your goals,.  You are experiencing magical strength and can actualize your desires through your own creativity and will.</t>
  </si>
  <si>
    <t>Your affairs are safely in th elap of the Goddess.  You are empowered to open yourself to your feminine receptive natue.  Ecord your deams and flow with the sensitivity and wisdom of your intuition.  This is an opportunity to listen to and trust your inner voice.  You are safe.</t>
  </si>
  <si>
    <t>Your energies are balanced and harmonious.  Ou will be fortunate and secure with material matters such as finding a suitable job or a place to live.  Adorn yourself with jewelry and your finest clothing as the Empress is ruled by Venus.</t>
  </si>
  <si>
    <t>There is potential for much growth and movement, and the ability to start projects with fiery passion, leadership, power, and enthusiasm.  Goals must be aggressively pursued.  This is not a time for passive inactivity.   Be aware to not inflict your will on others. Resist the usrge to tell them what to do, even if you believe it is for their own good.</t>
  </si>
  <si>
    <t>Symbolic - Representitive Meaning</t>
  </si>
  <si>
    <t>Brings exciting energy to break you from boredom or stagnation.  Brings a sense of casting all cares aside.  Logic, planning, and order are not involved.  Instead, magical synchronicities and lucky serendipitous evens can occur.  To be open, free, and spontaneous may be foolish behaior  But as his journey progresses, such foolishness does lead to mastery and wisdom.</t>
  </si>
  <si>
    <t>Magical strength</t>
  </si>
  <si>
    <t>Receptivity and Intuition, Wisdom, serene knowledge, intuitive judgement, and commen sense. Deep unspoken understanding between two people.</t>
  </si>
  <si>
    <t>Structure, Order, and Power in your life. Significant power shift is imminent.Pioneer, leader, explorer, Strong and successful warrior. A man of Action, Absolute power, authority, iron will. Can lead to corruption if not properly handled.  Successfully channeled leads to dynamic, strong, focused, and incisive catalyst for change and creation.  Can be intolerant, ruthless.  Quickly loses interest and not complete things started in an enthusiastic way.  Posses the power of balanced action.</t>
  </si>
  <si>
    <t>Ask someone wiser. Bring more structure into a situation by following more structure/religion  Shows a situation is following a stuctured path with no twists and turns expected..Structure, rules, rigity, dealing with people who won't budge.  You will either seek structure or be confined by it. Often portends a religious ceremony like a wedding, baptism, funeral etc.. Represents authority, convention, and a commitment to following a strict orthodox lifestyle.</t>
  </si>
  <si>
    <t>Radical change, ruin, destruction, everything negative.</t>
  </si>
  <si>
    <t>Ace is a Pre-destined card of Fate. New beginnings and opportunities</t>
  </si>
  <si>
    <t>Partnership, Balance</t>
  </si>
  <si>
    <t>Trinity, Magic</t>
  </si>
  <si>
    <t>Foundation, Completion</t>
  </si>
  <si>
    <t>Strife, Chaos</t>
  </si>
  <si>
    <t>Perfection, Beauty</t>
  </si>
  <si>
    <t>Spiritual Seeking, Questing</t>
  </si>
  <si>
    <t>Infinity, Stability</t>
  </si>
  <si>
    <t>Master # of magic, Highest single digit number</t>
  </si>
  <si>
    <t>Top number of fulfillment, Harvest</t>
  </si>
  <si>
    <t>Mastery, Power, Strength</t>
  </si>
  <si>
    <t>Depth, Maturity</t>
  </si>
  <si>
    <t>Action, Quest, Movement</t>
  </si>
  <si>
    <t>Exploration, Seeking, Learning</t>
  </si>
  <si>
    <t>Element &amp; Zodiacal Reference - E,O,P,Q,R,S,T,V,W,X</t>
  </si>
  <si>
    <t>4th - Influencer/Blocker</t>
  </si>
  <si>
    <t>6th - Advice</t>
  </si>
  <si>
    <t>7th - Advice Clarifier</t>
  </si>
  <si>
    <t>Card Name</t>
  </si>
  <si>
    <t>Justice</t>
  </si>
  <si>
    <t>Ace of Wands</t>
  </si>
  <si>
    <t>Ace of Pentacles</t>
  </si>
  <si>
    <t>2 of Wands</t>
  </si>
  <si>
    <t>Ace of Cups</t>
  </si>
  <si>
    <t>2 of Cups</t>
  </si>
  <si>
    <t>3 of Cups</t>
  </si>
  <si>
    <t>7 of Cups</t>
  </si>
  <si>
    <t>9 of Swords</t>
  </si>
  <si>
    <t>2 of Pentacles</t>
  </si>
  <si>
    <t>3 of Pentacles</t>
  </si>
  <si>
    <t>4 of Pentacles</t>
  </si>
  <si>
    <t>5 of Pentacles</t>
  </si>
  <si>
    <t>6 of Pentacles</t>
  </si>
  <si>
    <t>7 of Pentacles</t>
  </si>
  <si>
    <t>8 of Pentacles</t>
  </si>
  <si>
    <t>9 of Pentacles</t>
  </si>
  <si>
    <t>3 of Wands</t>
  </si>
  <si>
    <t>4 of Wands</t>
  </si>
  <si>
    <t>6 of Wands</t>
  </si>
  <si>
    <t>7 of Wands</t>
  </si>
  <si>
    <t>8 of Wands</t>
  </si>
  <si>
    <t>9 of Wands</t>
  </si>
  <si>
    <t>5 of Wands</t>
  </si>
  <si>
    <t>4 Devil</t>
  </si>
  <si>
    <t>4 of Cups</t>
  </si>
  <si>
    <t>5 of Cups</t>
  </si>
  <si>
    <t>6 of Cups</t>
  </si>
  <si>
    <t>8 of Cups</t>
  </si>
  <si>
    <t>9 of Cups</t>
  </si>
  <si>
    <t>10 of Cups</t>
  </si>
  <si>
    <t>King of Cups</t>
  </si>
  <si>
    <t>Queen of Cups</t>
  </si>
  <si>
    <t>Knight of Cups</t>
  </si>
  <si>
    <t>Page of Cups</t>
  </si>
  <si>
    <t>Ace of Swords</t>
  </si>
  <si>
    <t>2 of Swords</t>
  </si>
  <si>
    <t>King of Swords</t>
  </si>
  <si>
    <t>3 of Swords</t>
  </si>
  <si>
    <t>4 of Swords</t>
  </si>
  <si>
    <t>5 of Swords</t>
  </si>
  <si>
    <t>6 of Swords</t>
  </si>
  <si>
    <t>7 of Swords</t>
  </si>
  <si>
    <t>8 of Swords</t>
  </si>
  <si>
    <t>10 of Swords</t>
  </si>
  <si>
    <t>Queen of Swords</t>
  </si>
  <si>
    <t>Knight of Swords</t>
  </si>
  <si>
    <t>Page of Swords</t>
  </si>
  <si>
    <t>10 of Pentacles</t>
  </si>
  <si>
    <t>King of Pentacles</t>
  </si>
  <si>
    <t>Queen of Pentacles</t>
  </si>
  <si>
    <t>Knight of Pentacles</t>
  </si>
  <si>
    <t>Page of Pentacles</t>
  </si>
  <si>
    <t>Radiant Wise Description</t>
  </si>
  <si>
    <t>The Fool walks joyously into the unknown as a bright sunshine falls upon him. His bag carries past experience, his dog reflects animal instincts and the ground before him continues to regenerat as he walks forward.  New cycle of life.  Stepping off into a new adventure.  Optimism and originality. Breaking the norm. Ooutside the box. Daring. Free spirit.</t>
  </si>
  <si>
    <t>The Magician has all four suits of tarot on the table before him, reminding us what we need is always in front of us.  Flowers decorate the card to show you something has blossomed in the material world. He is the master.  Lighting up the world. Directing attention and outcome.  Casting magic and channeling energy. Dazzling others with skill.  The conduit.</t>
  </si>
  <si>
    <t>The High Priestess's veil hides the unseed world.  The book of your life is the scroll in her lap.  A triple moon crown rests on her head reflecting the cylical nature of life.  The B and J on her pillars represent Boaz and Jachin, named for the pillars on King Solomon's temple in Jerusalem.  The pillars are white and black reflecting balance and duality. Her dress is made of water reflecting the emotions and fluid nature of the material world and the feminine principle.   She is the blueprint of your soul.  Occult secrets.  The keeper of inner knowledge.  Authentic voice.  Deepest part of the self.  Self-knowing. Silence. Intuition.</t>
  </si>
  <si>
    <t>The twelve stars of the zodiac rest upon the Empress's crown.  The High Priestess's water flows through the waterfall in the background and continues through the Empress card and through the entire Tarot deck.  Her belly is soft and round and indicates pregnancy and all the creativity it implies.  Her scepter reflects the world she holds in her hand.  The symbol of venus, planet and goddess of love and sensuality is placed on her throan.  The wheat field implies growth and harvest and is sacred to the Greek Grain Mother Demeter.  The Empress is bursting creativity.  Mother.  Pregnancy. Powerful, sensual, female nature.  Emotional and nurturing.  Expansion and growth.  The creative principle in action. Deep beauty of all forms.</t>
  </si>
  <si>
    <t>10 of Wands</t>
  </si>
  <si>
    <t>King of Wands</t>
  </si>
  <si>
    <t>Queen of Wands</t>
  </si>
  <si>
    <t>Knight of Wands</t>
  </si>
  <si>
    <t>Page of Wands</t>
  </si>
  <si>
    <t>The Empress reflected sensuality and the creative principal while th eEmperor balnaces Empress energy with rules and foundation.He gives forma nd shape to the Empress's expansive nature.  The Emperor holds ankh, the Egyptian symbol of immortality.  The globe in his left hand reflects his dominion over the material world.  The astrological symbol of Aries is represented by the Ram placed on his throan.  He surveys his domain.  The Emperor is where your habits and patters are formed. Father. Order. Authorarian, firm, masculine nature.  Strong and assertive. Setting limits and rules.  Type A personality.  Formation and stability.</t>
  </si>
  <si>
    <t>The Hierophant sits between two pillars like the High Preistess.He makes a sign of benediction, a blessing, with his right hand.  The monks below him create a graphic trinity reflecting the Heirophant's societal import.  He is the outer form of cultural religion. His crossed keys unlock deep mystery as the Heirophant represents a doorway into the mystery of spiritual life.  Emblematic figure of religious authority.  Symbol of spiritual mystery in all societies.  Dogma and scripture. Mediator and translator.  Mentor and Student.</t>
  </si>
  <si>
    <t>The Arcangel Raphael, the angle of healing, presides over the card.  The male looks to the female who casts her eyes above invoking the sacred trinity.  The lovers are symbolic of astrological Gemini and also suggestive of Adam and Eve in the garden of Eden.Nudity on the card reflects the ability to be vulnerable and open towards another.  The snake symbolizes temtation and sexuality.  True love.  Passion and romantic excitement.  Deep, soul splitting attraction.  Matters of sexuality; choices of the heart.</t>
  </si>
  <si>
    <t>The charioteer is protected by his armor and all celestial bodies are reflected on his canopy.  Two sphinxes aling with the High Preistess's black and white pillars.  They reflect duality and the outer pillars of the Tree of Life.  The Magician channeled energy through his body and in the Charioteer, the entire body is thrust into action.  There is no stopping you. Literally being in the drivers seat. Moving forward toward a chosen goal.  Self-confidence and certainty; Motion and adventure.  The city wall behind the chariot reflects the barrier between you and others.  You are breaking free.</t>
  </si>
  <si>
    <t>The lion reflects the astrological symbol of Leo.  A lemniscate appears above the maiden's head reflecting the infinite nature of the universe.  She gently opens and closes the lion's mouth and doing so exercises keen control over animal instincts.  She does not repress but cleverly allows the energy to move.  This card is the gentle but form strength of knowing when to apply pressure and when to sit back and let it flow.  Sustaining power in all forms.  Kindness to self and others. Physical health. Moral character. Intelligence over violence. Self control.</t>
  </si>
  <si>
    <t>The Hermit emerges from his cave to shine the light of knowledge to those below with eyes to see it.  He reminds you of your ability to inspire others with your presence, actions, and deeds.  His lantern contains the six pointed start, two triangles reflecting the intersection of heaven and earth.  The Hermis's beard denotes wisdom and age and willingness to learn from mistakes and harvest all life experiences. Purposful isolation and withdrawl. Meditation and contemplation. Spirituality.  Intimate, individual experience.  Soul voyage. Internal eyes. A beacon for others.</t>
  </si>
  <si>
    <t>The universal and spiritual world in a constant state of flux.  Clouds in the corners of the card reflect manifestation while th ecreatures on the corners reflect the four elements and the four cardinal directions. The spokes of the wheel carry alchemical sysmbols; mercury, sulfur, and salt and the astrological sign for Aquarius, while the Latin word for "wheel," rota is inscribed.  Life in an ever-changing state.  Keep your eyes in the center, find a steady focal point to keep you grounded no matter what life throws at you.  Ancient symbol of fate, fortune and destiny.  Forces of time and space.  Energy and motion.  Life cycles, ups and downs.</t>
  </si>
  <si>
    <t>Justice sits between dual pillars like the High Priestess and Heirophant.  This invokes the graphic pillars on the Tree of Life.  It reflects balance and integration.  The scales of Libra are held in the left hand while the right hand holds the sword of clarity and articulation.  The jewel in the center of Justices's crown reflects higher consciousness and the ability to seek truth.  The figure wears no blindfold and sees all.  Effective decisions are made.  Moral codes are explored and value judgements are cast.  What is important to you?  Societal laws, courts, and public justice.  Making judgments about yourself and others.  Work and the effort you put in responds in the results you receive.</t>
  </si>
  <si>
    <t>Stasis and limbo used as an opportunity to see situation from a new vantage point.  A nimbus appears around his head denoting the supernatural power of saints and holy figures.  The secret of immanence in coded into the card.  It is the sacred and devine nature flickering and fourishing inside every molecule, grain of sand, blade of grass, and creature of earth.  The hanged man's eyes observes sacred energy.  His life is transformed forever.  Surrender to circumstances.  A moment's pause that is worthy and useful.  The  yogic inversion and all its lessons.  Wisdom and introspection toward the outer world.  The solitary path we all walk upon.</t>
  </si>
  <si>
    <t>Death moves across a field with a slow and steady march.  A king lay dead.  He represents old systems of order tossed aside. A bishop begs for mercy, a maiden turns away in fear and only a curious child looks up to greet Death.  She has not been taugh to fear death.  A ship sails in the distance oblivious to the death march.  A sun rises between two towers to reflect resurrection and new beginnings.  All ending make way for fresh possibility.  Transformation leading to renewal and growth.  Transition.  Underworld. Flux.  Occultism.  Letting things go. Evolution requiring release.  Metaphorical death.</t>
  </si>
  <si>
    <t xml:space="preserve"> Archangel Gabriel the messenger Angel is depicted on the card He bears the sign of the sun on his forehead. It is also the alchemist's symbol of gold. Temperance and the moon card balance each other. Each has a pool and path under different circumstances. Discard reflects the change of the seasons in the embrace of new ideas. Temper is the act of repetition to invoke skill or to revise something , make sharper like a sword. Alchemy . Blending in harmonizing oppositional forces and concepts. Holding opposing ideas and fostering complexity in life. Producing evolution. </t>
  </si>
  <si>
    <t xml:space="preserve">The devil is historically used as the external symbol of fear and corruption. The devil is also the individual's inner symbol of the shadow of self which is all repressed . Are repressed desires and emotional blindspots inform our actions, reactions, and life path. It is only by confronting the devil archetype inside you, which is to say, having the guts and bravery to shine the light into your own darkness that one can truly be set free. When the devil card appears in your reading, take an honest look at the things you usually hide away inside yourself. Be brave and honest to unfold new pathways of possibility and set yourself free from inauthentic and destructive behavior. Shadow cell. Addiction and obsession. Wasting time and energy. Greed and overindulgence. No limits. Controlling others. Building the ego. Scapegoating others and not taking responsibility for one's own actions. A rip roaring good time but the inability to reign it in and impose limits to personal impulses. Repressed desires governing behavior .  </t>
  </si>
  <si>
    <t xml:space="preserve">The key to the tower card lay in the crown blown off the tip of the tower . The circular crown never fit the square tower. It may be your situation never fit it may be years old and move past your correct circumstance. We all out we've all out grown things what's essential for us. The key lay in weathering the storm and shedding the snakeskin when it is time to move on, assert yourself, or take the steps you need to take. This is why the toughest, scariest cards come near the end of the major arcana . It is only through facing the tough stuff that we may taste the sweet nectar of growth and evolution. Ruin, collapse, and release. Flash of brilliance. Bolts illusions shattered. Destruction of what was never meant to be. Change can frighten us even when what is being destroyed Is not good for us. It was our comfort, inside the discomfort that made us think we needed it.  </t>
  </si>
  <si>
    <t xml:space="preserve">The calm after the storm. Healing and renewal. Ultimate piece yet active not passive. Creative inspiration. Invoking the muse. Clarity and vision. The star appears after the tumultuous Devil and tower card. The star brings a calm and serenity feeling like the tempest has passed. The thunder and rain are gone. It is the clarity of a good cry, and emotional breakthrough, and the ultimate sense that everything will be OK. The star is also the card of direct communication with the muse.  It is an especially important card for writers and artists. This is the archetype of inspiration. The females figure is nude, implying vulnerability, and openness. Her freely flowing waters imply openness. The bird in the tree offer spirit communication. The stars above are a million bright, shining signs, galaxies of hope and possibility.           </t>
  </si>
  <si>
    <t xml:space="preserve">Dreams and psychic activities. Strange rumblings. Something inside you longs to be seen. Subconscious bears fruit. Supernatural experience. Intuition overload. Uncanny feelings. Opening to the cyclical nature of life. Learning to adapt to the ever-changing nature can be difficult when we want to stay inside our comfort zone. Yet, learning to move with life’s ebbs and flows, aligning oneself with the cyclical nature of the moon help us ride life‘s ups and downs. Energy cycles around yet you cultivate the ability to stay centered. The crawfish emerging from the pool is a piece of your unconscious ready to be seen. It is ready to take on form and shape in the material world. The dog and wolf reflect the push and pull of our animal and bass in stinks. The two towers are indicative of the dual polarities we exist between, always shifting and evolving. The path between the mountains is the road you will travel. </t>
  </si>
  <si>
    <t xml:space="preserve">The sun is the center of our solar system and the source of all life. The child on the card reflects rebirth and resurrection as he wears the same red feather as the fool and the death card. He is the fool reborn, with spiritual understanding and mastery. He rides forward on the horse of purity with his new found freedom. The wall behind him reflects a barrier that has been crossed. The sunflowers represent all the bounty of summer and the richness of a beautiful August day. The sun appears to fill you with optimism and let you know everything will be ok. Each of us is a son with our universe, family, friends, Magic, and creativity orbiting around us. You are pure consciousness and energy. Let yourself shine. Life, truth, and manifestation in the real world. Pregnancy both literal and metaphorically. Yeah expansion and growth. Energy and excitement. </t>
  </si>
  <si>
    <t xml:space="preserve">Turning point. Wake up call. No going back. Undeniable change. Awakening consciousness. Evolution has occurred. Metamorphosis. Possibility beyond your expectations. New reality. The tectonic plates of change shift as the ark Angel Michael blows his horn it is the ultimate wake up call signaling your life will never be the same. The husband, wife and child reflect the masculine, feminine, child self, and adult self. It is all parts of the soul heating the car. The emerge from coffins. The allegory of the end days is a parent when the dead rise. It is the ultimate form of regeneration. Judgment appears to let you know everything inside of you has changed even if the outside hasn’t caught up yet. </t>
  </si>
  <si>
    <t xml:space="preserve">Living in the moment. Nirvana. Enlightenment. Completion. Success. Travel. The ultimate of everything. Overcoming human limitations. Transcendence. Euphoria. Freedom. Life. You simply far as time, worry, and effort ceases. The world card is a kin to the goal of many spiritual traditions. It is freedom, enlightenment, and perfection in the present moment. It does not belong to a select few but to any of us at any moment. The world dancer holds two wands in her hand as the energy of life flows through her. The creatures in the corners reflect the four directions, four elements, and manifestation in every sector of your life. The wreath suggest victory but also the birth canal through which the fool emerges to begin the cycle again. The world card is the big bang. It is universal, orgasmic consciousness. It is perfection. You are perfection.           </t>
  </si>
  <si>
    <t>Do, yes, action</t>
  </si>
  <si>
    <t>Celebration. Stability of passion. Party time. Summer fires and blessings. Domestic bliss. The four wands reflect stability and strength. The element of fire is secured and celebrations commence. It is a time of summer parties, laughter and Gary. Your work has paid off in early dividends. You can relax and enjoy. It is also nature and countryside pleasures.</t>
  </si>
  <si>
    <t>Plans into action. Daring greatly. Creativity and collaboration with others. Business partnerships. The figure stands with three wands as he looks out to the ships he has set forth. The plans are hatched in a good effort is made. Creativity and evolution unfolds and marvelous consequences Leah head. It is still time to plan for future adjustments but feel pleased with personal progress and innate ability to work well with others.</t>
  </si>
  <si>
    <t xml:space="preserve">Reflection of passion. Making plans. Having the world in your hands. Plotting and planning. Fires energy has developed into something more. The duality of passion and all the possibility it allows. The figure stand between two wands with the world in his hands. The ones reflect the two pillars of the tree of life. The figure is the center pillar, the integration of dualities. See the world before you. What do you want? Now is the time to plot and plan.          </t>
  </si>
  <si>
    <t>Spark of desire. Energy and originality. Erotic desire. Visioning. Ideas. Life. Intensity. The beginning of the element of fire. The seed of life busting inside the soul. It is the beginning of passion in career, spirituality and love. The electric spark of desire between two people. It is also a symbol of male virility.</t>
  </si>
  <si>
    <t xml:space="preserve">Incendiary events. Protests. People worked up. Drama. Exciting conflict. New ideas born from passionate debate. The energy is scattered but it forces work together, powerful results occur. There is a need for unity. The scrimmage or practice match. People aren’t afraid to take bold action. People not acting the way you hoped they would. It is the challenge arriving when everyone wants a different outcome. Free yourself by surrendering to the moment.          </t>
  </si>
  <si>
    <t xml:space="preserve">Victory lap. Marching in glory. Personal success inspires others. Sharing the glory. Add elation. Expansion and being recognized by your peers and friends for exceptional personal talents. The six of WANDS, like all Taro sixes, implies separation and hierarchy. The main figure rides above all others on his horse. The figure rejoices in his victory yet his horse looks suspiciously behind them. Has something been overlooked? </t>
  </si>
  <si>
    <t>Defending oneself against real and imagined enemies. Upper hand. Non-conformity. Quick wit. Improvisation. The figure is on Highground defending himself against would be invaders and or attackers. Are the attackers real or imagined? Are you feeling especially sensitive and vulnerable? Perhaps, it is all in your mind. The figure wears two different shoes implying a quick getaway. Were you cutting corners or taking the easy way out? The defense will  be successful but was it worth the effort you put in?</t>
  </si>
  <si>
    <t>Breaking barriers. New ground. Moving into the unknown. Unchartered territory. The figure moves through a gate and into the unknown. The bandage on his head and plays the history and challenges he has endured. Regardless of his struggles, he continues to move forth. He moves into a foreign space he has never entered before. He is Trepidatious and nervous yet rewards await him. Do not give up hope. There is more to come. It isn’t over yet.</t>
  </si>
  <si>
    <t xml:space="preserve">Combination of effort. Need for rest and rejuvenation. Release what is no longer needed. The end has arrived and the cycle has run its course. A man is way down by the heavy winds up on his back. Wands are an exhaustive suit because it is the element of passion. Fires can warm us but they can blaze out of control if left unattended. Allow the passion of wands to simmer down so you can build your strength and stamina once again. Everything in life is in flux. Your need of Downtime will soon be replaced with enthusiasm as you spring back to life. For now, take it easy. </t>
  </si>
  <si>
    <t>Passionate and driven personality. Getting things done. Inspiring leader ship. Bold nature driven by integrity. The mature, masculine element of fire. No games, no illusions, the king of wands, tells it like it is, states his goal and moves rapidly toward it. He is charismatic and alluring with the energy of a rockstar or a preacher man. He is likely to charm anyone into seeing things his way. Stating what you want, how you want it, and why you want it.</t>
  </si>
  <si>
    <t>Mature and developed sense of sensuality and sexuality. Charismatic personality who draws people like a moth to a flame. The feminine mastery of fire and embodiment of the suit. Generous devotional energy and a deeply spiritual woman. One who ignites the passions of others and always remains true to her cause. Tireless energy and loyalty to those around her. An actress, public speaker and one who shines in the public guy and empowers those around her.</t>
  </si>
  <si>
    <t xml:space="preserve">Explosive and unbridled energy. Courage. Daring greatly. Speedy results. Action and idealism. If the night of cups was the poetic, romantic suitor, the night of wands is the sexy, love them and leave them type of guy. He moves in fast with the essence of fire. No one sees him coming and they don’t know what hit them. He is the energy of fire, speed, and seduction. He’s gone before you wake up. He is also the energy you need to complete tasks and get things done at the last minute Or when push comes to shove. </t>
  </si>
  <si>
    <t>Adventurous and energetic personality. The fall and encompassing energy of youth. Laser focus on souls delight. Passion unfolding. Excitement. Attention towards those things thrilling you on every level. The traveling soul who craves the stimulation of new places, ideas, and vistas. The salamanders on her cloak reflect the fire element. The pyramids in the background represent creativity and manifestation in the real world. The page of wands is a great adventure.</t>
  </si>
  <si>
    <t>A mysterious, glowing hand holds a baptismal cup overflows with the waters of life. A dove, symbolic of the higher realms, descends with a piece wafer bearing a cross reflecting the spiritual merging with the material. Lotus flowers and waterlilies.com waters below reflecting growth and spiritual birth and a connection to all three worlds. Add its essence, this is the card of staying emotionally open and repressing nothing. Emotional flow. Connection. Outpouring.    Open nature. Beginning of love. Heart opener. Forgiveness.</t>
  </si>
  <si>
    <t>Attraction. Heart recognition of oneself in another. Coming together. Affinity. Soul healing. The two of cups echoes the lovers card as two figures approach one another. A house, implying domestic Bliss and homemaking sits behind them reflecting cohabitation. It is the card of masculine and feminine in balance and can be read metaphorically. It is the card of finding what you love applied in all areas of your life.</t>
  </si>
  <si>
    <t>Joy shared with others. Friendship and celebration. The manifestation of love and warm feelings. The cups reflect the sacred triad of creativity and growth. Pumpkins and fruits and play growth. This card reminds the reader to share with others. Empowering others increases everyone’s happiness, health, and wealth. Surround yourself with people who lift you up.</t>
  </si>
  <si>
    <t>And opportunity is right before you yet you do not see. Distraction, disappointment and boredom. Buddha Under the bodhi tree. Closed too emotional energy. It is impossible to see all of life’s opportunities coming at you. Life offers sensory overload. Yet, it is good practice to remind one’s self to stay open for unexpected and outside the box opportunities. Use this cards appearance as an opportunity to broaden your vision. Pleasure and possibility is yours to be had. Will you claim it?</t>
  </si>
  <si>
    <t>Addiction and sadness. Do you have the strength to walk away? The figure cloaked in the black looks upon 3 cups in dejection and depression. Fluid from the cups spills across the ground. 2 cups stand behind him. Will he reach back and take more of the same or will he have the courage to cross the bridge over the river without looking back. The prize weights inside the castle. Will he claim it? Decide for him with personal action.</t>
  </si>
  <si>
    <t>Gifts of the heart. A walk down memory lane. Kindness. Sharing. Protection. Two children share a cup inside a wall Tuscan Hilltown. Flowers sprout from the cups in playing growth and manifestation in the real world. The figure of an adult man, perhaps a soldier, walks away implying this is a space of youth. Old situation slip away. The cup exchange between the children reflects gifts of the heart.</t>
  </si>
  <si>
    <t xml:space="preserve">The card reflects illusions. It also reflects multiple choices. The figure is in darkness while the cups are illuminated. Perhaps, all the world is but a dream. 7 cups appear on the air as it displayed by a movie projector. Each cups holds dazzling possibility, Jules, wealth, and beauty. This card appears as if to ask what is tempting you? Would reality be as delicious as fantasy? All possibilities are on the table. Only the mind limits what we can do. Options. Visions of dreams coming true. Wild Imagination. </t>
  </si>
  <si>
    <t>Journey. Above and beyond. Leaving behind what has been gained to move forward. The eclipse pictured on the card marks a unique moment in time posed by the eight of cups. It shines a super natural light upon the beginning of a journey that can only be undertaken in full maturity. The hermit sets out on his path to the Mountains where he will eventually shine his light. The journey is solitary in nature and reflects relying on the strength of the self. Nothing will ever be the same as you forge a new path.</t>
  </si>
  <si>
    <t xml:space="preserve">Your wish is granted. Success. Pleasure. A genius it ready to grant your wish. He is full of glee and delight as your dream comes true. 9 cups set up on a curve table with a cloth concealing the hidden properties of what they lay beneath. Be careful what you wish for. We do not always know what is best for us. Imagine if everything you desperately wanted came true? The nine of cups appears to remind us of life‘s magic in the energetics power lying within you. It also reminds you to use responsibility and Love needed to create meaningful goals, wishes, and dreams. Do they serve your highest self? Is your desire true to your deepest self or has it been planted by the needs of another? Does your desire serve others? If so, all the better. Honoring natural gifts, talents, and impulses is the best way to enjoy satisfying wish fulfillment.      </t>
  </si>
  <si>
    <t xml:space="preserve">Happily ever after. Sweet and playful culmination of the heart. Family. Conclusion. The finale and ending. A happy family is seen below a shimmering rainbow. The mother and father raise their arms to the sky while children frolic and play. It is the fairytale happily ever after card the picture offers a standard Disney fied vision of happiness. Our personal happily ever after would likely look wildly different from the scene illustrated here. Once again, the tarot offers a generic Image to serve as a metaphor for our lives, this particular one, ends in a satisfied conclusion.      </t>
  </si>
  <si>
    <t>Use the king of cups to plot your true course. The king of cups is the master of feeling. Deep, masculine, emotion and empathy. Expression and eloquent and impactful ways. As such, he commands the realms of art and culture. A creative genius with the ability to inspire others through his presence and his work around him. He can look danger in the face and navigate around it. Creative genius. Visionary. Artistic mastery and success. Adapting to life’s ebbs and flows. Rolling with the punches while remaining effective and productive .</t>
  </si>
  <si>
    <t xml:space="preserve">The impact. Feeling and feminine understanding the emotions and situations of others. Nurturing personality. Grace. Caring for all things in the world and understanding that we are all connected. The queen of cups, goddess of the water, who sits on shells and glistening salty rocks, adorned by mermaids understands and sees all things as they really are. She is able to feel more than she can act. She is the soft touch within you, the place where you open to understand another human being, animal or plant. The white cliffs of Dover rise behind Her as reminders of what has come before and what will come after. She is the essence of compassion.      </t>
  </si>
  <si>
    <t xml:space="preserve">Poetic personality. Romantic seduction. Sweet nothings. Sensitive nature. News and messages. Pacifist. The gentle night of cups is the seducer of the deck and when he appears, romance is in the air. The energies of nights are active yet he carries the slowest energy. Developments are sure to come but it will take time. In the meantime, enjoy the journey, savor the sweets. Remember, Joy isn’t only in the destinations but the highway and byways we travel. The night of cups reminds us to Slow down, Consider and enjoy the view before it passes you by. </t>
  </si>
  <si>
    <t>Dreamy, youth full personality. Psychic visions. Imagination games. Geez deeply. Artistic. Gentle. Open mind. The sweet child of cups reflects all the soft and intuitive parts of your own psyche. It is moments of being carried away by the wonder of your own imagination, listening to music, reading a beautiful book or watching an incredible film. It is feeling young and free and above all things, feeling what is possible.</t>
  </si>
  <si>
    <t>A brilliant idea based on the conviction of your mind. Success and achievement. You have totally nailed it. The ace is the seed of the suit of swords and the symbol of a sword may be used to defend oneself or to hurt others. The ace of swords reminds us the value of the mind, our brain and our innate ability to determine how we react to outside circumstances. This card also holds the power of words carrying the ability to hurt or heal, depending on how they are used. Victory.</t>
  </si>
  <si>
    <t xml:space="preserve">Balance of mind. Inner searching. Val of silence. Meditation and deep thought. The two of swords reflects duality of the mind and a deeper search in Word to find the truth and meaning of what you must do and how you will proceed. The blindfold has been voluntarily placed upon her eyes. Her swords are realistically too cumbersome to hold yet she possesses them with precision and balance. This equanimity allows her to journey and meditate in to the matter at hand and find her deepest wisdom. It is taking time away from others to listen to the self and sort out your thoughts.          </t>
  </si>
  <si>
    <t>Heartbreak. Love triangle. Betrayal. Deep emotional turmoil. The wound that lets in the light. Three perfectly aligned of swords Pierce a gentle, soft heart. Storm clouds rage but will soon blow away. The three of swords is a card of pain but it is also a heart opener. Ruptures this precise are no accident. They occur for a reason. Wounds are the space that lead in light to heal and transform. Heart opening is not an easy process or your heart would already be wide-open. Isn’t it amazing to realize you can let more love in? Depth sewed in sorrow pays itself forward in love if you keep your heart open.</t>
  </si>
  <si>
    <t>Stability of the mind. Trusting your thoughts and calculations. Peaceful rest. Fours in Taro always imply a stable base. It is the place where the energy of the suit evens out, becomes real and manifest in the real world. The four of swords is the peace of mind of knowing what you know and not doubting yourself. The effigy of the knight laying rest in a quiet tomb reflective Of the sleep of the dead. It is the sanctity of sacred space.</t>
  </si>
  <si>
    <t>Cruelty. Consider your actions and words. Faults accusations. Cowardliness. Inflated ego at the expense of others. Taking advantage of others. The five of swords is warning card to remind you of the power of your words and actions. A dispute has ended and there is a clear winner, loser and mediator. Who do you identify with on the card? Which character represents you at this very moment? If you do not see yourself in the car, who or what does it remind you of? What lessons can you take away from the image?</t>
  </si>
  <si>
    <t>Quiet passage. Movement with those you love most. Better times liar head. A female figure and a child or fairy to cross a body of water by boat man. This illustration alludes to the Greek boatman who fairies souls to the land of the dead. It is a remarkable journey with those who are closest to you. The water beneath the boat suggest the emotional depth between the people involved. Thoughts and words are used in their highest aspect. There is no going back.</t>
  </si>
  <si>
    <t>Subterfuge. Illusion. Getting away with murder. A figure sneaks away seemingly unnoticed by the figures surrounding the fire. His body language moves in three directions, forward, backward, and towards the reader reflecting the past, present and future of the situation at hand. This card often reflects editing and moving forward with only what is essential. Getting rid of what you don’t need. Sevens In tarot always make note of a stroke of luck.</t>
  </si>
  <si>
    <t>Allowing other people’s actions and words to mess with your mind. Temporary bondage. Free yourself. Illusions. Initiation. Blindfolds in the taro often represent sacred initiation. In this case the blindfold is placed upon the eyes voluntarily. The initiate moves through her experience and removes the blindfold to see the world through a new set of eyes. The castle in the background fades from site as the past begins to dissipate.</t>
  </si>
  <si>
    <t xml:space="preserve">Racing, torturous thoughts. Sleepless night. Overdrive mind. Nighttime tears and distress. Nightmares blur the lines between reality and dream time. Passive aggression wreaking havoc on the mind. Feelings of anger against the self and the mind racing out of control. Nine swords form a makeshift ladder above the bed. Will you escape or will your feet be sliced to shreds? Temporary blindness will end if only you remove your hands. Peace will prevail by assuming the lotus Position and allowing what is needed to slip away.         </t>
  </si>
  <si>
    <t>The end to old thought patterns pave the way to new ground. The 10 of swords is the ultimate end of the situation. It is done, finished and culminated with sublime drama. The figure lay with swords along his spine reflecting alternative medicine, acupuncture, and chakra work. A bright and golden sun Pierces the darkness of the blackest night letting you know a new beginning and a new day is dawning. The figure crafts a secret gesture with his fingers letting you know this is metaphorical death.</t>
  </si>
  <si>
    <t>The masculine expression of the element of air. Intellectuality and rational analysis. Purely thought based reactions. Tactical approach to all matters. His energy helps you meet deadlines, finish projects, and ace tests. He is the big boss, the father figure and the authoritarian. Here, like the queen of swords, emulates the figure of justice and carries her qualities in his words and actions. The butterflies on his throne reflect a higher consciousness.</t>
  </si>
  <si>
    <t>Clear thinking, straight, and to the point. Perfect articulation. Knowing what you want and expressing it succinctly. The queen of swords wheels the mature and feminine power of the mind. Her hand is extended to invite you in and ask sending greetings. Her sword is pointed towards clarity and truth so the highest form of truth is given. She will always tell you what you need to hear and convey it in the most direct form possible.</t>
  </si>
  <si>
    <t>The page of swords is graced with the sharpest mind of the deck. Nothing escapes her clever observations. She reflects the part of the mind able to solve riddles, be independent and become fascinated by the possibility of an ever expanding intellect. Clever sleuth. Detective mindset. Reading between the lines. Adventure. Intrigue is a foot.</t>
  </si>
  <si>
    <t xml:space="preserve">Manifestation. Birth. Money. Inheritance. A hand reaches out of a mysterious billowing, white clouds with a golden pentacle resting and its palm. The ace of pentacles is the seed and beginning of the element of earth. It is all things you can see, feel and touch. It is DNA, the form and shape of everything that exists in material form from people to animal, vegetable, and mineral. Flowers burst in the fertile garden. A doorway out of the garden is open and waiting for you to walk through into your Wildest dreams. </t>
  </si>
  <si>
    <t xml:space="preserve">Weighing options. Choices to be made but either option is satisfactory. Balance and being quick on your feet. A fellow plays with two pentacles demonstrating a joyful approach to life. Rocking ocean waves are painted on the scrim behind him. It reflects undulation and going with the flow to stay buoyant no matter what challenges appear before you. Two ships travel to see suggesting unexpected surprises and developments occurring soon. Decide for yourself what is the best course of action. You know, better than anyone else, how to juggle life‘s intrigues, mysteries and possibilities. Enjoy the dance!  </t>
  </si>
  <si>
    <t xml:space="preserve">The creative principal. Working together to make things. Ingenuity. Three figures stand under a triangle shape of three pentacles inside a cathedral. They represent collaboration with other people and combining natural talents and gifts. The figure on the left where is a Freemason apron and holds masonic tools and stands on a masonic bench. This suggests the building of something important. Three is the number of creativity and pentacles reflect the material world. Therefore, the three of pentacles reflects the creativity and expansion of all things you can see, smell, here, and taste          </t>
  </si>
  <si>
    <t>I figure sits with a pentacle balancing on his head or crown chakra, and his heart chakra, and beneath his feet. He clings dearly to the material world. The city behind him represents commerce and his accrued income. He is holding on tight to savings. Security of animal, vegetable, and mineral. Stability in the material world. It is an early success but also the fear of losing what one has gained.</t>
  </si>
  <si>
    <t>Dark night of the soul. A couple walks through a blinding snowstorm. They are bandaged, hobbled, and appear cold and feeble. They are seemingly oblivious to the warm glow of the church beside them. A Stainglass window holding five pentacles in the graphic design of the upper portion of the tree of life. Salvation is there if only they look. The downside and rough patches of long-term relationships. Loss but not the end. Hope and salvation for those who see.</t>
  </si>
  <si>
    <t>The idea of wealth and poverty is continued from the five pentacles to the six of pentacles. To beggar’s are seen receiving money from a wealthy merchant who holds balancing skills as if to measure out his good deeds. Is charity given from the heart or is it performed with a sense of having power and control over one less fortunate? The city in the background and plays wealth in commerce. The posture of the characters implies hierarchy.</t>
  </si>
  <si>
    <t>Moments pause. Reflection. The figure leans on his farming tool and gazes at his crops. Seven pentacles appear as tendrils unfold and continue to grown. There is manifestation, perhaps earlier than expected, but what will happen next? How can you reinvest your fortune to yield even more pay off in the future? Unexpected results.</t>
  </si>
  <si>
    <t xml:space="preserve">Hard work. Dedication to career and creativity you love. The figure sits on a bench and is hard at work. He is a craftsman. His bench, apron and tool are masonic symbols. He displays his work proudly. It is having pride in what you do and being fully invested in the effort you are taking to create something. It is often the process, not the results offering profound satisfaction, however in the case of the eight of pentacles, both the journey and results are aligned in harmony and full of success. Right Effort. Diligence. Display.       </t>
  </si>
  <si>
    <t xml:space="preserve">Quality time alone. Family lineage. A beautiful dressed woman in a fancy cloak enjoy solitude in her vineyard. The family estate is seen in the upper right corner. She is surrounded by grapes. Lush vegetation, and the animal world. A falcon rests on her glove, a sign of loyalty, training, and devotion. A snail crawls across the lower left side of the card implying a slow and gradual evolution. There is no need to Rush. Loyalty and appreciation of the good life.    </t>
  </si>
  <si>
    <t xml:space="preserve">Families and generations. Manifestation of all things. Harvest time. Three generations are seen standing at the threshold of the walled city. The old man may be the hermit, a grandfather or both. A married couple gays to one another. The child pets the family dogs. This is the card of complete manifestation in the material world lifting the veil and opening into the spiritual world. It is the card of looking beyond. It is the people, Places and things you hold near and dear.         </t>
  </si>
  <si>
    <t>The king of pentacles sits on his throne a top a bustling city of commerce. Grapes and vegetation signify growth of all things in the material world. His eyes are closed as if to snooze reflecting his slow yet powerful energy. Success in the material world. Real estate and Holmes. Finance and business talent. Investing wisely. Enjoying the good life after working diligently to create it.</t>
  </si>
  <si>
    <t xml:space="preserve">The queen of pentacles sits on a carved stone thrown in a lush garden. The bunny reflects fertility, the flowers represent manifestation in the natural world, and her red cloak signifies her passion towards all things. She is a mature female who presides over all earthly matters. She carries a nurturing personality. The goddess of the house and home. The ultimate caretaker, chef, home decorator. </t>
  </si>
  <si>
    <t>Physical and sensual. The night of pentacles carries the slowest moving energy of the deck. He looks at other above the pentacle in his hand considering his next move. Will he plant the pentacle like a seed in the freshly plowed field beside him or will he slip it into his pocket and ride into the sunset? Plotting and planning for the future. Introspective. Slow moving energy that yields incredible results.</t>
  </si>
  <si>
    <t>The child of earth holds an innocent nature. It reflects the parts of yourself that is lost in play, exploration and treasures of the material world. An upturn field behind the page is the bed of possibility. What will you plant? What do you want? And attentive student. Focusing on studies and school work. Thoughtful and curious nature. Focus and fascination. Playful and creative.</t>
  </si>
  <si>
    <t>Suit</t>
  </si>
  <si>
    <t>Except your niche within its structure, conform, learn from the discipline, and plan it to your advantage. If the rigidity is too unbearable, you may choose to rebel and leave. In rare instances, this card may indicate a stern yet loving patriarch whose word is law.</t>
  </si>
  <si>
    <t>More than the concept of finding a lover, this card is also the alchemical blend within yourself. The point at which you fell in love with the world, and more importantly, in love with yourself. A positive mental outlook and strong self-esteem leaves one open to experience healthy, loving relationships. Also indicated is the ability to freely express emotions and to trust your feelings. This is a very fortunate card.</t>
  </si>
  <si>
    <t>Your path is clear and focused. Energies are harnessed, progress is made, and goals can be attained. You are a triumphant, victorious, and successful winner. You can cover much ground.</t>
  </si>
  <si>
    <t>You will be strong and powerful in your endeavors. You can be in control of the situation and face difficulties head on. You possess courage, fortitude, and abundant STRENGTH..</t>
  </si>
  <si>
    <t>A time to look within and be alone. This is not a social time, but instead a period of silent reflection in solitary quest for inter-vision. This card is easy to except for the introvert who enjoys solitude, meditation, and quiet walks. But it may represent a challenge for an extrovert who enjoys attention, activity, or interaction with mini companions. To except the HERMIT’s way leads to wisdom.</t>
  </si>
  <si>
    <t>Doors will open and all things will be much better than you can possibly imagine. Prosperity will descend on you. You will evolve out of a situation that is getting you nowhere. Set your sights high, and Jupiter will set them even higher and deliver.</t>
  </si>
  <si>
    <t>Balance body, mind, emotions, and spirit. Create an honest solution to all situations in order to restore harmony and fairness. The best solution may require generous compromise by both parties. Due to the libran Influence, this card can also indicate partnership.</t>
  </si>
  <si>
    <t>You have reached a dead end, a cul-de-sac, and are facing a brick wall. Now is the time to turn and create a new path. There are no path leading from the HANGED MAN. A completely new way of life is required. Surrender.</t>
  </si>
  <si>
    <t>Accept the painful realization that things cannot continue in the same manner. You will not die, but the situation will die. Find solace in the fact that DEATH proceeds rebirth, and know that life itself is a series of death and rebirth.</t>
  </si>
  <si>
    <t>The time of ART is stick creativity and beautiful in her realization. Events flow easily and smoothly and Magic is in the air. It is easy to fulfill one’s destiny and create positive change, and to integrate new experiences. Harmony and successful unions will arise.</t>
  </si>
  <si>
    <t>Materialism, overly concerned with money and success, dishonesty, illusion, and obsession. Allow some time for resolution of your situation and for confusion to disperse. Something is wrong that needs to be corrected. Now is not the time to act. The primitive God Saturn as Kronos, old  father time, may unfold the answer, but all in good time.</t>
  </si>
  <si>
    <t>Explosive liberation from the ivory tower that you set up to remain safe. Release of control. Sudden change of behavior. Don’t bother to resist because change will happen so rapidly that you will immediately find a whole new world. There will be a new cast of characters in your life. This card can indicate divorce, moving to a new area, or a new job where everything is different.</t>
  </si>
  <si>
    <t>Inspiration, vitality, hope, transformation, and regeneration. You have found your life’s path and your life’s work. Step forward and be radiant. Do not hide your light. The STAR is also a cart of healing, good health, calm, peace, harmony, and happiness.</t>
  </si>
  <si>
    <t>You are in the middle of a form of evolution. You know longer desire what you did in the past, but you have not yet developed a new sense ability or emotional response. You are unformed, but begin to take on a new shape. Events may take more time than anticipated, and the outcome may differ from original intent.</t>
  </si>
  <si>
    <t>Success, prosperity, glory, clarity, and contentment. There is business achievement as well as success in all endeavors. The SUN shines brightly as you radiate strong energy.</t>
  </si>
  <si>
    <t>Regardless of your current situation, you are destined to a whole new level of life. It is as if you were reincarnated into a better life experience, but did not have to die and leave the physical body to realize it. The outcome is of a very high order.</t>
  </si>
  <si>
    <t>Realization of the unlimited beauty and wonder of the WORLD. The UNIVERSE is abundant as you dance the dance of life and no fulfillment.</t>
  </si>
  <si>
    <t>A new door has opened, a marvelous Arena to Xpress your creative energies. Utilize passion, strength, enthusiasm, creativity, drive, aggression, and ambition to open the door of opportunity and succeed. Also indicated our love of life, sexual energy, and passion.</t>
  </si>
  <si>
    <t>Assess your domain and vigorously set goals. Then pursue them with the focused attention until they are accomplished and success is attained. The ability to courageously overcome obstacles.</t>
  </si>
  <si>
    <t>Seeking new adventures and opportunities. Wanting to explore options. Time to find a new way of being. Proceed with your actions and a big virtuous and impeccable manner. Develop integrity and honor. Satisfaction results from carrying out ones duty and fulfilling ones agreement.</t>
  </si>
  <si>
    <t>Success and prosperity is indicated. Now is the time to finish projects and then celebrate. Complete activities and tie up loose ends. This card may also mean the end of a romance.</t>
  </si>
  <si>
    <t>Competition, chaos, petty problems, and struggle. There are problems concerning what you wish to do. You are held back, in prison, or overwhelmed. There is a little support for your actions. It is time to check your ego.</t>
  </si>
  <si>
    <t>Victorious action, optimism, advancement, positive outcome, recognition or praise, and healthy use of creative energy.</t>
  </si>
  <si>
    <t>Valor during struggle, striving to stand your ground and maintain your work, yet unsure of your actions. Look within and seek clarity concerning which arena you wish to place your energies, and whether it is best to continue your current projects.</t>
  </si>
  <si>
    <t>Life is exciting and fast paced. Events occur serendipitously and quickly. Easy progress. Your world is fun and they seem to melt into each other. Enjoy this whirlwind time.</t>
  </si>
  <si>
    <t>Strength amidst struggle and integrity amidst diversity. There is willpower and radiance in standing your ground. The ability to fight.</t>
  </si>
  <si>
    <t>Overwhelmed with the weight of too many responsibilities and commitments. Prioritize what needs to be done next. Console your self with the knowledge that because this card is number TEN, the fruition - the burdens cannot increase</t>
  </si>
  <si>
    <t>Strength, respect, successful enterprise, and maturity. You are in control. The path ahead is clear for dynamic and victorious action. Success is attained by cultivating and expressing masculine energy.</t>
  </si>
  <si>
    <t>Express your creativity and power. Go out and do. Don’t hide your light. Where the crown and be the queen for a day. The outcome is favorable if you act now with passion, courage, and brilliance.</t>
  </si>
  <si>
    <t>The path ahead is clear for dynamic action.  Be confident and explore new, fun adventures. Travel is also indicated. This card can represent a sexual explore who may not be serious about commitment.</t>
  </si>
  <si>
    <t>Good luck, a new creative cycle, and hope. Learning opportunities and chances for advancement. In some instances, foreign travel is indicated.</t>
  </si>
  <si>
    <t>A new beginning and opportunity for love, emotional expression, inspiration, and spirituality. Goodness and purity are overflowing</t>
  </si>
  <si>
    <t>Love amongst equals, partnership, spiritual union, caring, intimacy, compassion, and harmony. Much time is spent at home because cancer rules the home and hearth. The goddess Venus blesses this union.</t>
  </si>
  <si>
    <t>Celebration, Mary Matt, pleasure, rejoicing, and contentment. There are many people with whom you can converse and share your life.</t>
  </si>
  <si>
    <t>Discontent, boredom, resentment, apathy, lack of enthusiasm. Not wanting what is offered. One is seated and cannot except any more emotional involvement or entanglement.</t>
  </si>
  <si>
    <t>Emotional depression, loss, sadness. Weep and grieve to release the inner disappointments.</t>
  </si>
  <si>
    <t>Enjoy life with ease, happiness, and well-being. Harmonious giving and receiving. Relationships and emotional states are enjoyable, creative, and sensual</t>
  </si>
  <si>
    <t>Unrealistic desires and goals. Wishful thinking. Immature whims, daydreams, and silly imagination. A veil of confusion.</t>
  </si>
  <si>
    <t>You are bored or have lost interest. Rest, heal, and nuture your self before embarking on a new path. It is best to leave the past behind.</t>
  </si>
  <si>
    <t>Happiness, peace, harmony, and contentment. Opportunities and lucky events can occur with ease.</t>
  </si>
  <si>
    <t>Satisfaction, happy family life, true friendship, and spiritual fulfillment.</t>
  </si>
  <si>
    <t>Emotional maturity, kindness, and charity. A spiritual or religious person or situation. Consideration for others. The ability to nurture and assist others. Much artistic and creative talent.</t>
  </si>
  <si>
    <t>Trust and follow your feelings. Feel the joy of giving and receiving. Be receptive to psychic impressions and dreams. This is a creative time to Xpress inner feeling and unconscious urges, or to nurture oneself and others. Love, peace, and happiness are indicated.</t>
  </si>
  <si>
    <t>If you are stuck or stagnant, he will bring good luck, inspiration, advancement, new opportunities and friends, and emotional fulfillment. He is a spiritual WHEEL of FORTUNE.</t>
  </si>
  <si>
    <t>Good news, happiness, contentment, intuition, and playful creativity.</t>
  </si>
  <si>
    <t>Inspiration and Epiphany. A new idea or attitude which cuts away confusion. There is clarity of mind, sharp focus, and open communication. Everything is perceived with a different light and expanded consciousness. This could manifest as returning to school, writing a book, or expanding your level of perception.</t>
  </si>
  <si>
    <t>Peace of mind and harmonious balance. Because this is a small card, equal to the two of spades in a playing deck, simply seek peace and do not magnify or over analyze issues.</t>
  </si>
  <si>
    <t>A broken heart, upsetting emotional relationships, coral, and sorrow. It is best to weep, grief, and release the pain in your heart and mind.</t>
  </si>
  <si>
    <t>Relax and retreat. A truce is declared. No one won, no one lost, and there is no one to blame. Although there are still issues to be resolved, now there is rest.</t>
  </si>
  <si>
    <t>You have lost interest or hope. Regardless of how much energy you pump into changing situation, it makes little difference. Except your limitations at this time.</t>
  </si>
  <si>
    <t>A balanced state of mind, healing, calm after the storm, and intelligent communication.</t>
  </si>
  <si>
    <t>This card means a week plan that will fail, and can indicate faults friendship. Observe your thoughts, ideas, and beliefs systems. Route out the destructive thoughts that we get more destructive thoughts.</t>
  </si>
  <si>
    <t>Your mind races with negative thoughts. These thoughts do not come to a final conclusion. Instead, they randomly jab at the store, self torment. Meditation can heal the racing mind.</t>
  </si>
  <si>
    <t>All is scattered and in disarray. You have made negative choices or you were unreasonable about reality. The end of delusion. Pain. Take comfort that your difficulties will not increase.</t>
  </si>
  <si>
    <t>Ideas are very focused and directed, but at the expense of the heart. Do you notes rational mind, linear thinking, great skill and intelligence with machines and computers. May represent a debater of the law, one extremely intellectual and strongly opinionated.</t>
  </si>
  <si>
    <t>Control of the mind and thought processes, keen perception, powerful intelligence, Claire thought, and liberation of the mind. Traditionally, she denotes a woman or person alone, not in a relationship.</t>
  </si>
  <si>
    <t>Methods are too harsh and confrontational. Instead of defiantly defending your position, Netwerk, communicate, talk to many people, and orchestrate an open brainstorming situation. Strive to create Sharpe ideas quickly.</t>
  </si>
  <si>
    <t>Trouble ahead, strife, and problems. Instead, try diplomacy and understanding</t>
  </si>
  <si>
    <t>Wealth, prosperity, gold, a new beginning with material concerns, and increase of money, better health, and financial opportunities.</t>
  </si>
  <si>
    <t>Juggling to make ends meet, struggling with the flux of life and the inevitable change in circumstance. This could result in juggling TWO jobs or creating TWO ways to make money. Strive to stay grounded</t>
  </si>
  <si>
    <t>There is work to be accomplished. Dedicated labor, positive and constructive energy, and completing a task will result in a skillful job well done.</t>
  </si>
  <si>
    <t>Love of material wealth, miserly, greedy, fear of financial scarcity, and clinging to possessions. The need to stay grounded and keep what you have. Sensible personal security and good boundaries. Also a solid foundation upon which to build. Stability, security, and the ability to create something tangible.</t>
  </si>
  <si>
    <t>The lack of money, scarcity, poverty, or bad health. Weak self-esteem.,financial counseling is in order.</t>
  </si>
  <si>
    <t>Business success, prosperity, riches, beautiful surroundings, good health, and abundance.</t>
  </si>
  <si>
    <t>Projects and endeavors are not yet manifested. Time( Saturn) and Hardwork( Taurus) are necessary to evolve out of the present scarcity. There may be a delay. The harvest or goal is not guaranteed.</t>
  </si>
  <si>
    <t>Steady growth, discipline, and focus. Working towards a goal within your grasp.</t>
  </si>
  <si>
    <t>Plenty, success, reward, comfort, financial well-being, good management of material affairs, accumulation of wealth, and appreciation of beauty.</t>
  </si>
  <si>
    <t>Prosperity, security, financial stability, domestic contentment, and riches. Wilson may be increased by detailed attention to communications.</t>
  </si>
  <si>
    <t>You are money connected, solid as a rock, reliable, and on a strong financial or career path. And experienced and successful leader, especially in business. A reliable marriage partner. This card augurs wise financial investments.</t>
  </si>
  <si>
    <t>Prosperity, well, security, luxury, comfort; also charitable and generous. Abundant, fertile, possessing inner strength and dignity. Stable, focused, reliable, practical, talented, and able to exceed in the business world. Understanding the physical body and its pleasures.</t>
  </si>
  <si>
    <t>Life is slow, stagnation, lol inactivity. The field is fellow. A time to rest. Do not overreach. Powerful endeavors are not favored at this time. You are not ready. Instead, be patient, persistent, dependable, and attend to details. Do not overspend and avoid extremes. It is better too go to slow then too fast</t>
  </si>
  <si>
    <t>Desiring to discover and learn how the material world functions; learn how to invest or balance money; interest in health, healing, and nature.</t>
  </si>
  <si>
    <t>Numerical value</t>
  </si>
  <si>
    <t>1st - Significantor/Subject</t>
  </si>
  <si>
    <t>Card Pulled</t>
  </si>
  <si>
    <t>Question</t>
  </si>
  <si>
    <t>The night of swords contains the explosive energy of a virile young man Set off in the world to plot his own course. Decisive action. Speaking and doing before thinking it over. Bravery and skill. Mental prowess and extreme behavior. Destroy preconceive notion’s and rapid movement met forward. Speed and prowess. Action and swiftness toward the resolution of the situation. Quest undertaken for the greatest prize.</t>
  </si>
  <si>
    <t xml:space="preserve">Intentions are sent. Energy in motion. Intentions are powerful in the eighth of wands is an illustration of action in motion. What is done is done and cannot be undone. The send button is hit, the letter is in the mail. The spell is cast. The words and incantations have been said. Why are you cannot undo what is done, you can pause, wait and see what the ramifications are. The energy is strong and effective. Allow the universe to work it’s magic. Do not try to control what has been sent. The situation is out of your hands for now. Be patient and you’ll get results.        </t>
  </si>
  <si>
    <t>1 of Magician is the card of Skill, will-power, manifestation, The art of communication.</t>
  </si>
  <si>
    <t>2 of High Preistess is the card of Innocence, freedom, spontaneity, a free spirit, new beginning, desire to start.</t>
  </si>
  <si>
    <t>4 of Emperor is the card of Authority, establishment, a dominating male, masculine, wise, father, practical, controlling, male from a patriarchal society, experienced and powerful.</t>
  </si>
  <si>
    <t>3 of Empress is the card of Beauty, femininity, love, nurturing, abundance, pregnancy, creativity.</t>
  </si>
  <si>
    <t>5 of Hierophant is the card of Religious beliefs, conformity, marriage, knowledge sharing, blind faith.</t>
  </si>
  <si>
    <t>6 of Lovers is the card of Relationship, love, harmony, values, soul mates, partners, strong bond, made for each other.</t>
  </si>
  <si>
    <t>7 of Chariot is the card of Control, willpower, success, action, determination, two forces pulling in the opposite direction.</t>
  </si>
  <si>
    <t>8 of Strength is the card of Control. Strength, influence, compassion, energy, endurance, success, Overcoming an obstacle.</t>
  </si>
  <si>
    <t>9 of Hermit is the card of Solitude, guidance, soul-searching, introspection, being alone, inner guidance, wisdom.</t>
  </si>
  <si>
    <t>10 of Wheel of Fortune is the card of Good luck, destiny, good fortune, cycles.</t>
  </si>
  <si>
    <t>11 of Justice, Adjustment is the card of Justice, honesty, fairness, law.</t>
  </si>
  <si>
    <t>12 of Hanged Man is the card of New perspective, just hanging in there, sacrifice for a higher cause, confinement, spiritual growth.</t>
  </si>
  <si>
    <t>13 of Death is the card of Change, transformation, transition, ending, new start.</t>
  </si>
  <si>
    <t>14 of Temperance is the card of Balance, Moderation, Middle path.</t>
  </si>
  <si>
    <t>15 of Devil is the card of Addiction, restriction, materialism, temptations.</t>
  </si>
  <si>
    <t>16 of Tower is the card of Destruction, chaos, upheaval, awakening, sudden change.</t>
  </si>
  <si>
    <t>17 of Star is the card of Hope, direction, a path to follow, renewal.</t>
  </si>
  <si>
    <t>18 of Moon is the card of Anxiety, fear, illusion, subconscious.</t>
  </si>
  <si>
    <t>19 of Sun is the card of Success, optimism, vitality.</t>
  </si>
  <si>
    <t>20 of Judgement is the card of Judgement, rebirth, awakening.</t>
  </si>
  <si>
    <t>21 of World is the card of Completion, fulfillment, celebration, harmony.</t>
  </si>
  <si>
    <t>Ace of Wands is the card of Inspiration, desire, passion, new drive, a new initiative.</t>
  </si>
  <si>
    <t>2 of Wands is the card of Looking to the future, progress, decisions.</t>
  </si>
  <si>
    <t>3 of Wands is the card of Finding direction, expansion, growth, travel.</t>
  </si>
  <si>
    <t>4 of Wands is the card of Cebration, Wedding, Stability.</t>
  </si>
  <si>
    <t>5 of Wands is the card of Conflict, Argument, Competition, Disagreement, Not Listening to others.</t>
  </si>
  <si>
    <t>6 of Wands is the card of Achievement, Victory, Success, Public Recognition.</t>
  </si>
  <si>
    <t>7 of Wands is the card of Defense, protection, taking stand for beliefs.</t>
  </si>
  <si>
    <t>8 of Wands is the card of Swiftness, change, movement, speed, success, air travel.</t>
  </si>
  <si>
    <t>9 of Wands is the card of Resilience, courage, persistence, on guard.</t>
  </si>
  <si>
    <t>10 of Wands is the card of Burden, responsibilities, taking more than you can handle.</t>
  </si>
  <si>
    <t>King/Father of Wands is the card of Entrepreneur, natural-born leader, visionary, experienced adult. Fire of Fire.</t>
  </si>
  <si>
    <t>Queen/Mother of Wands is the card of Confidence, Independence, Stable Situation.</t>
  </si>
  <si>
    <t>Knight/Young Adult of Wands is the card of Passion, Inspired Action, Bravery.</t>
  </si>
  <si>
    <t>Page/Child of Wands is the card of Exploration, Energetic young person, inspiration, message.</t>
  </si>
  <si>
    <t>Ace of Cups is the card of New relationship, Love, Pregnancy, Creativity.</t>
  </si>
  <si>
    <t>2 of Cups is the card of Mutual Love, partnership, balance, soul mates.</t>
  </si>
  <si>
    <t>3 of Cups is the card of Celebration, Party, Supportive Friends, baby shower, uniting with others.</t>
  </si>
  <si>
    <t>4 of Cups is the card of Regret, refusing offers, missed opportunities, stagnation, apathy, disillusion, focusing on the negative, self-absorption, depression, boredom, nostalgia, remorse, yearning, frustration, weariness, meditation, day-dreaming, fantasizing .</t>
  </si>
  <si>
    <t>5 of Cups is the card of Sadness, loss, grief, despair, abandonment, guilt, remorse, regret, trauma, bereavement, mourning, heartbreak, unwelcome change, emotional instability, focusing on loss, focusing on negative emotions, isolation, loneliness, emotional baggage, divorce, separation, anger, disappointment.</t>
  </si>
  <si>
    <t>6 of Cups is the card of Children, childhood memories, past influences, yearning, homesickness, nostalgia, reunions, playfulness, youthfulness, innocence, creativity, kindness, goodwill, simplicity, childishness, immaturity, sharing, gifts, charity, family, support, protection, childhood issues, childhood abuse.</t>
  </si>
  <si>
    <t>7 of Cups is the card of Lots of options, choices, multiple possibilities, opportunities, picking and choosing, decisions, procrastination, dreaming, fantasy, illusion, wishful thinking, imagination, hallucinations, meditation.</t>
  </si>
  <si>
    <t>8 of Cups is the card of Abandonment, abandoning plans, walking away, letting go, travelling, escapism, reaching limit, self-analysis, self-discovery, introspection, looking deeper, withdrawal, disappointment, looking for the truth, loneliness, leaving a bad situation, emotional strength, courage, fatigue, weariness.</t>
  </si>
  <si>
    <t>9 of Cups is the card of Wishes coming true, realising dreams, happiness, cheerfulness, joy,  fulfilment, positivity, optimism, satisfaction, success, abundance, prosperity, achievements, rewards, confidence, high self-esteem, triumph, celebrating, entertaining, fame, acclaim, recognition, pleasure, sex, sensuality, pampering.</t>
  </si>
  <si>
    <t>10 of Cups is the card of Happiness, family,  happy families, reunions, homecomings, family gatherings, marriage, long term relationships, stability, security, harmony, abundance, domestic bliss, happy ever after, caring, children, fun, play, creativity, soulmates, fate, destiny, good luck, blessings,  well-being, fulfilment.</t>
  </si>
  <si>
    <t>King/Father of Cups is the card of Mature compassionate male, calm, caring, friendly, sympathetic, wise, tolerant, diplomatic, balanced, affectionate, romantic, charming, devoted, family orientated, generous, easy going, married man, good husband/partner/father, loyal, faithful, spiritual guide, counsellor.</t>
  </si>
  <si>
    <t>Queen/Mother of Cups is the card of Mature emotional female, security, femininity, loving, warmth, sensitivity, kindness, happiness, intuition, romance, loyal, faithful, shy, easily wounded, pretty, beauty, daydreamer, psychic, empath, creative artistic, inspirational, healer, listener, counsellor, caring, supportive, good mother.</t>
  </si>
  <si>
    <t>Knight/Young Adult of Cups is the card of Romantic proposals, offers, invitations, taking action, following your heart, chivalry, gentlemanly behaviour, being swept off your feet, charm, attraction, dating, affection, warmth, gentle, caring, sensitive, artistic, creative, imaginative, psychic, graceful, tactful, diplomatic, peace loving, negotiator.</t>
  </si>
  <si>
    <t>Page/Child of Cups is the card of Child, inner-child, youthfulness, idealism, sensitivity, dreamer, inner-voice, spirituality, psychic, messages, happy news, naivety, crush, admirer, becoming emotionally mature, romantic proposals, engagements, pregnancies, marriages, births, romance, artistic, kindness, loyalty, beauty, fashion, style.  </t>
  </si>
  <si>
    <t>Ace of Swords is the card of New ideas, new plans, intellectual ability, victory, success, mental clarity, clear thinking, breakthroughs, ability to concentrate, communication, realising the truth, vision, force, focus, intensity, stimulating people and environments, new beginnings, new projects, justice, assertiveness, authority, making the correct decision. </t>
  </si>
  <si>
    <t>2 of Swords is the card of Stalemate, truce, sitting on the fence, cross roads, difficult decisions, painful choices, stressful decisions, opposition, facing your fears, being torn between two relationships, divided loyalty, being caught in the middle, denial, blindness, inability to see the truth, avoidance, blocked emotions. </t>
  </si>
  <si>
    <t>3 of Swords is the card of Heartbreak, betrayal, loneliness, removal, absence, division, depression, separation, sadness, heartache, unhappiness, upheaval, grief, sorrow, upset, disorder, confusion, alienation, loss, distraction, ill-health, conflict, disillusion, trauma, serious misunderstandings, tears.</t>
  </si>
  <si>
    <t>4 of Swords is the card of Fear, anxiety, stress, feeling overwhelmed, mental overload, needing solitude, relaxation, rest, peace and quiet, sanctuary, meditation, regrouping, recuperation, hospitalisation, introspection, planning for the future, contemplation, self-protection, spiritual counselling or support, having faith.</t>
  </si>
  <si>
    <t>5 of Swords is the card of Defeat, surrender, change, walking away, self-sacrifice, self-sabotaging behaviour, underhanded behaviour, deception, lack of communication, aggression, bullying, intimidation, abuse, violence, crime, rape, murder, assault, standing up for yourself, victory, fighting back, overcoming challenges, serious conflict, hostility, stress.</t>
  </si>
  <si>
    <t>6 of Swords is the card of Calmer waters, healing, progress, moving on, moving forward, things calming down, calm after a storm, overcoming hardship, relief, stability, escaping, running away, journeys, travelling, travel overseas, going on holiday, feeling deflated, lethargy, holding onto negativity, spirit guides, guidance.</t>
  </si>
  <si>
    <t>7 of Swords is the card of Deceit, lies, trickery, cheating, theft, underhanded, scheming, dangerous/risky behaviour, enemy masquerading as friend, spying, lack of conscience, strategy, resourceful, flexible, escaping detection, getting away with it, adaptable, courage, daring, sharp wit, mental manipulation, cunning, overly rational.</t>
  </si>
  <si>
    <t>Mental overwhelm, exhaustion, and confusion. Obtain clarity about what really requires your attention. Make a list of all things to do that are overwhelming you, and only do two or three things from the list.</t>
  </si>
  <si>
    <t>Ace</t>
  </si>
  <si>
    <t>King/Father</t>
  </si>
  <si>
    <t>Queen/Mother</t>
  </si>
  <si>
    <t>Knight/Prince/Young Adult</t>
  </si>
  <si>
    <t>Page/Princess/Child</t>
  </si>
  <si>
    <t>Numerological Interpretation - E,L,M</t>
  </si>
  <si>
    <t xml:space="preserve">0 is the number of the Fool.The number of the fool card is 0 that symbolizes unlimited potential. </t>
  </si>
  <si>
    <t>1 is the number of the Magician.One is the number of new starts and new beginnings.</t>
  </si>
  <si>
    <t>2 is the number of the High Preistess.Master No.</t>
  </si>
  <si>
    <t>3 is the number of the Empress.-</t>
  </si>
  <si>
    <t>4 is the number of the Emperor.4 is the number of structure and stability.</t>
  </si>
  <si>
    <t>5 is the number of the Hierophant.-</t>
  </si>
  <si>
    <t>6 is the number of the Lovers.The number 6 represents harmony and balance.</t>
  </si>
  <si>
    <t>7 is the number of the Chariot.7 is the number of spiritual awakening, inner growth, introspection, wisdom, and intuitiveness.</t>
  </si>
  <si>
    <t>8 is the number of the Strength.8 is the number of authority and balance.</t>
  </si>
  <si>
    <t>9 is the number of the Hermit.-</t>
  </si>
  <si>
    <t>10 is the number of the Wheel of Fortune.Number 10 is the number of completion. It represents the end of a cycle. 1+0 equals =1 which is a sign of a new beginning.</t>
  </si>
  <si>
    <t>11 is the number of the Justice, Adjustment.11 is a master number. It is the number of inspirations and enlightenment, charisma and dynamism.  1+1 = 2 , 2 is the number of balance, fairness, and honor.</t>
  </si>
  <si>
    <t>12 is the number of the Hanged Man.12 is the number of cosmic order and also a number of completion. 1+2 make 3, which is the number of creativity, inspiration, and optimism.</t>
  </si>
  <si>
    <t>13 is the number of the Death.13 is the number of focus, independence, and creative self-expression. This is also a number of transformations. 1+3= 4, four is a number of building solid foundations, endurance, patience, and structure.</t>
  </si>
  <si>
    <t>14 is the number of the Temperance.14 depicts a change in balance. 1+4=5, Five is a number of changes, and adaptability, adventure, freedom,  and also conflict. In many Old Italian decks, the Temperance card also appeared in the 6th or 7th position.</t>
  </si>
  <si>
    <t>15 is the number of the Devil.15 symbolizes both the material and spiritual sides of something. 1+5 makes 6. Six is generally considered a number of harmony and balance. In any traditional tarot deck, The Lovers is card number 6.</t>
  </si>
  <si>
    <t>16 is the number of the Tower.16 symbolizes the search for wisdom. 1+6 = 7, 7 is the number of renewal, awareness and wider point of view.</t>
  </si>
  <si>
    <t>17 is the number of the Star.This is card number 17, which is the number of strength and responsibility. 1+7=8. Eight is a symbol of infinity and represents the constant flow of energy and power. Number 8 is also related to wealth and monetary success.</t>
  </si>
  <si>
    <t>18 is the number of the Moon.18 is the number of inspiration and accomplishment. 1+8 makes 9, number 9 represents the energies of the Universal Spiritual Laws.</t>
  </si>
  <si>
    <t>19 is the number of the Sun.19 is the number of ‘Surrender’. 1+9 makes ten which is the number of completion and ten further reduces to one which is the number of a new beginning and a fresh start.</t>
  </si>
  <si>
    <t>20 is the number of the Judgement.20 is a number of transformations, good fortune, and positivity. 2+0 reduces to 2, which is associated with balance, harmony, and love.</t>
  </si>
  <si>
    <t>21 is the number of the World.21 is the number of fulfillment and happiness. 2+1 equals 3, three is the number of creativity, optimism, wisdom, and harmony.</t>
  </si>
  <si>
    <t>Ace is the number of the Wands.One is the number of focus, beginning, and inspiration. The element of the suit of wands is Fire.</t>
  </si>
  <si>
    <t>2 is the number of the Wands.The number two stands for harmony, balance, and partnerships. This card shows the next level of moving forward from the idea that emerged at the ace of wands. Now it is time to introspect and look at the possibilities to implement the idea.</t>
  </si>
  <si>
    <t>3 is the number of the Wands.Number three is the number of creativity, harmony, compassion, and exploration, and the fiery suit of wands is about energy, passion, power, ideas, and illumination. This is the third stage of the passion that emerged from the Ace of wands. Now the fiery energy is executed and established.</t>
  </si>
  <si>
    <t>4 is the number of the Wands.Number 4 depicts stability, structure, strength, and foundation. The fiery passion that started from the ace of wands has now taken the shape of a perfected work. It is stable and secure.</t>
  </si>
  <si>
    <t>5 is the number of the Wands.The energy that gained balance at number 4 is now disrupted again at number 5. Number 5 shows some sort of chaos and imbalance in all suits of tarot. Five is the number of adaptability and harmony in numerology but it is also a number of changes.</t>
  </si>
  <si>
    <t>6 is the number of the Wands.The suit of wands is fiery, energetic, determined, strong, and ambitious in characteristics. The number 6 is the number of harmony and balance. In major Arcana ‘the Lovers’ is the card number 6. The disruption that occurred at number 5 now again starts getting balanced at number 6.</t>
  </si>
  <si>
    <t>7 is the number of the Wands.Seven is the number of security, happiness, and renewal. 7 is a very important number religiously and spiritually. The suit of wands is about passion, dynamism, and vitality.</t>
  </si>
  <si>
    <t>8 is the number of the Wands.Eight is the number of authority and balance and suit of wands belongs to Minor Arcana in Tarot and it is related to passion, energy, vigor, and dynamism.</t>
  </si>
  <si>
    <t>9 is the number of the Wands.Nine is the number of Spiritual awakening and kindness and ‘The Hermit’ is card number nine in major Arcana. If 10 is the completion of a cycle then nine shows that you are very close to the end of this cycle. You have gained experience and wisdom and have to go through just a few ordeals and trials to reach the completion.</t>
  </si>
  <si>
    <t>10 is the number of the Wands.The number 10 indicates completion of a cycle but not the ending of anything as things take a start again from 1.  In major Arcana, the wheel of fortune is card number 10.</t>
  </si>
  <si>
    <t>King/Father is the number of the Wands.The role of a king was to protect the kingdom against invaders, consolidate power, and increase the wealth of the kingdom. A king often traveled through his kingdom to see the plight of the realm. A king’s most important responsibility was to establish order and keep the peace. A king’s responsibility was to administer justice, resolve disputes between nobles, and uphold the power.</t>
  </si>
  <si>
    <t>Queen/Mother is the number of the Wands.A Queen is one of the strongest and most influential members of the royal court. Even in the old times, queens were the rulers at many places. In the places where kings were the rulers, the queens were their right hands and most trusted allies. They kept and protected state secrets. A Queen was not only the wife of a king but also the mother of the next king of a kingdom. The attributes of a queen were fertility, management, mercy, creativity, and authority. A Queen’s personality is matched with water that is flowing, nurturing, life-giving, and having a steady and controlled flow and the cycle of emotions. The Queen of wands is Water of Fire.</t>
  </si>
  <si>
    <t>Knight/Prince/Young Adult is the number of the Wands.In medieval times, knights were fearful warriors who rode on horseback. A knight generally belonged to an aristocratic wealthy family who could afford horse, armor, weapons, and training since childhood. Besides knowing tricks of war, the knights were good at reciting poetry and songs. They were true charmers.</t>
  </si>
  <si>
    <t>Page/Princess/Child is the number of the Wands.Page of Wand is a court card from the fiery suit of wands in Minor Arcana. Courts are comprised of people who administer, manage, and govern a country or a region, and pages are young boys in training to be a knight or a squire. A young page’s duties were to run messages (mostly memorize the message and deliver verbally), serve, clean clothes and weapons, receive education, and learn the basics of a battle and the art of combat. In reading, a page can represent a person, a side of the personality, or a situation.</t>
  </si>
  <si>
    <t>Ace is the number of the Cups.The Ace of Cups is the first card or card number one in the watery suit of cups. One is the number of beginning, independence, unity, God and the universe. The element of water is linked to emotion and intuition. This is a receptive or passive suit.</t>
  </si>
  <si>
    <t>2 is the number of the Cups.Two of cups is card number to in the suit of cups. Number two is the number of harmony, balance, relationship, partnership, and balance. The suit of cups is related to emotions, intuitions, sensitivity, and creativity.</t>
  </si>
  <si>
    <t>3 is the number of the Cups.Three of Cups is the third card in the watery suit of cups in Minor Arcana. Three is the number of creativity, harmony, social interaction and optimism. This is a happy card of celebrations and friendship.</t>
  </si>
  <si>
    <t>4 is the number of the Cups.In a general context, the Four of Cups Tarot Card can represent missed opportunities, remorse or regret. It can also signify becoming self-absorbed due to depression, negativity or apathy. The Four of Cups can indicate that you are feeling bored or disillusioned with your life, you may be focusing on the negative or feeling like the grass is greener on the other side. You may feel like you have lost your passion and motivation for life. When this Minor Arcana card appears in your Tarot spread it comes with a warning to be mindful of the opportunities or offers available to you. You may be inclined to dismiss them as insignificant now but you could realise later that they would have led on to amazing things. The Four of Cups can also represent feeling nostalgic, daydreaming or fantasising.   </t>
  </si>
  <si>
    <t>5 is the number of the Cups.How many negative emotions can one card represent? Quite a few in the case of the Five of Cups! In a general context, the Five of Cups Tarot card can represent sadness, loss, loneliness and despair. When this card appears it indicates that you are focusing on the negative. This may be the result of some sort of trauma or unwelcome change you have suffered. As such, this card can signify heartbreak, divorce or separation. The Five of Cups also tends to appear if you have suffered a recent bereavement as it represents mourning and grief. It is a card of emotional baggage and instability and can signify that you feel deep remorse, regret, anger, sorrow or disappointment. It is also the Minor Arcana card of abandonment and can either represent you being abandoned by someone significant to you or you abandoning plans or people in your life. It can also indicate loneliness or isolation. However, for all the negative connotations this card can bring there is a positive message underneath it all. The figure depicted in the card is crying over the spilt cups and seems to be oblivious to the fact that two cups are still upright. This is reminding you that no matter how bad things may seem there is always a silver lining, you just have to choose to see it.</t>
  </si>
  <si>
    <t>6 is the number of the Cups.In general context, the Six of Cups Tarot card can represent nostalgia, childhood memories and focusing on the past. When this card appears in a Tarot spread you may be being influenced by past events, reminiscing about the past or thinking about someone from your past. The Six of Cups is also the Minor Arcana card of children, young people and youthfulness and can represent having children or taking care of or working with them. It can signify simplicity, playfulness, innocence, goodwill and sharing. It can also represent protection and family. If you have been going through a tough time, the Six of Cups may be telling to take the support available to you from family and close friends. When the Six of Cups appears in a Tarot spread it can also indicate that you are being childish or immature. If combined with certain supporting cards it can, in some cases, indicate childhood abuse. It can also signify homesickness for those that live abroad.   </t>
  </si>
  <si>
    <t>7 is the number of the Cups.In a general context, the Seven of Cups Tarot card represents having lots of options to choose from or multiple possibilities open to you. It can be an indication that you have so many choices or so many things going on at once that you may be overwhelmed or unable to focus properly. You need to limit the amount of things you are taking on to a manageable amount. There is no point in agreeing to do things if you can’t give them the time and attention they deserve. Try to be realistic about what you can commit to. The Seven of Cups can also signify that you may be indulging in wishful thinking, fantasies or living in a dream world. When this Minor Arcana card appears in a Tarot reading, it indicates that you need to make a decision in your life and realistically look at where you are. Take proactive steps to make your situation better rather than fantasising about how you want it to be. Your imagination is a great tool to help you envision your future but it will never happen unless you take action to make it happen.</t>
  </si>
  <si>
    <t>8 is the number of the Cups.In a general context, the Eight of Cups represents abandonment. It can signify walking away from people or situations in your life or abandoning your plans. It can indicate disappointment, escapism and turning your back on or leaving bad situation. The Eight of Cups can also represent the exhaustion or weariness that can prompt such a decision. Strength and courage are necessary to walk away from what you know into an unknown future and these qualities are also represented in the Eight of Cups. It is a Minor Arcana card representing travel so you could find yourself embarking on an adventure when this card appears in your Tarot reading. The Eight of Cups can signify loneliness, introspection, self-analysis and looking for the truth.  </t>
  </si>
  <si>
    <t>9 is the number of the Cups.In a general context, the Nine of Cups Tarot card is a positive card which indicates your wishes will be coming true or your dreams will become a reality. If you have experienced hardship, sorrow or pain recently, this card tells you that the bad times are behind you now and a time of happiness, joyfulness and fulfilment is coming. With this Minor Arcana card appearing in your Tarot spread you will be able to accomplish anything you put your mind to as it represents triumph, success and achievement. Your efforts will not go unnoticed either as it also signifies recognition, acclaim and even fame. The Nine of Cups also represents having high self-esteem and self-confidence. It is a card of celebrations and parties. </t>
  </si>
  <si>
    <t>10 is the number of the Cups.In a general context, the Ten of Cups Tarot card is a great card to have in your Tarot reading as it represents true happiness and emotional and spiritual fulfilment. It tells you that you will be living your happy ever after and can look forward to domestic bliss. This Minor Arcana card represents happy families, children, caring and fun. You should be feeling very happy and secure when it appears in your Tarot reading. Life should be full of true contentment. This applies to you and your circle of family and friends. Everything you need you should have in abundance and you will be feeling truly blessed. Now is a time to reap the rewards of your previous hard work. The Ten of Cups Tarot card also represents playfulness and creativity so you may find the fun factor in your life goes up a notch when this card makes an appearance. The Ten of Cups can also signify reunions, home comings or family gatherings so if you have been away from your family, friends or partner or they have gone abroad, you can expect to be reunited with them.  </t>
  </si>
  <si>
    <t>King/Father is the number of the Cups.In a general context, the King of Cups Tarot card represents kindness, compassion and wisdom. This Minor Arcana card can indicate that you will be finding the balance between your mind and your heart. You will learn to control your emotions and find the wisdom to accept that which you cannot change. You should be gaining a deeper level of emotional maturity when this card appears. You will become calmer, more sympathetic to others and tolerant. Like all the cups court cards, the King of Cups signifies emotion, creativity, artistic ability and intuition but in a more balanced form. As a person, the King of Cups is caring, affectionate and empathetic. He is a good listener, diplomatic and easy going. He is the type of older male who will give you sound advice and act as a calming influence in your life. He usually has light hair and has few if any enemies as he is well liked and gets along with the majority of people. He may lack the drive to pursue material wealth as he is more focused on the emotional side of life. He is very family orientated. He may be a water sign such as Cancer, Scorpio or Pisces.</t>
  </si>
  <si>
    <t>Queen/Mother is the number of the Cups.In a general context, the Queen of Cups Tarot card can generally signify a woman or women in your life who will be supportive and caring towards you. This Minor Arcana card is also a sign that you should be mindful of how you treat yourself and others or to treat people with compassion and sympathy. She can also indicate that you may be more sensitive than you let on to the outside world and that harsh actions or hurtful comments affect you more than you show to the outside world. This card can also indicate a tendency to daydream and a big imagination. As a person, the Queen of Cups represents a mature female or feminine person who is kind, caring and supportive. The Queen of Cups is a sentimental, sensitive soul and a good listener. She is empathetic to the feelings of others. As a mother, partner or friend, the Queen of Cups is affectionate, loving and warm. However, she can also be shy and have a tendency to daydream. She is creative, artistic and intuitive and she appreciates beauty. She may be a water sign such as Cancer, Scorpio or Pisces</t>
  </si>
  <si>
    <t>Knight/Prince/Young Adult is the number of the Cups.In a general context, the Knight of Cups Tarot card can represent proposals, offers, good news and invitations. The news or offers he brings usually carry with them a lot of excitement. They are the kinds of offers or news we hope to receive. Knights as action takers and as such, this Minor Arcana card can be an indication that now is the time to take action and follow your heart or that you are about to get swept off your feet. The Knight of cups can also signify gentleness, affection and warmth. It can also represent grace under pressure or diplomacy so you may find yourself acting as a mediator in resolving any disputes or conflict. If representing a person the Knight of Cups is a charming adult (usually 20-35 year of age and usually male) who is emotional, romantic, caring, gentle and idealistic. He is chivalrous, warm, tactful and a peace lover or good negotiator. He may be a water sign such as Cancer, Scorpio or Pisces.</t>
  </si>
  <si>
    <t>Page/Princess/Child is the number of the Cups.In a general context, the Page of Cups is a bringer of messages. This can be in the form of happy news, important information, invitations to social events, gossip or the potential for romantic proposals. It can also represent your inner child so don’t take things too seriously when this card appears. It may be a sign that you need to connect to your inner child by embracing the fun and frivolous side of life. It can also represent beauty, fashion, glamour or style so you may be trying out a new personal style or having fun with fashion when this Minor Arcana card appears in your Tarot spread. The Page of Cups can also signify that you are beginning to gain a level of emotional maturity that allows you to be kind, compassionate, helpful, affectionate and loyal.  If representing a person, the Page of Cups signifies a young person, child or person who is young at heart, who is a bit of a daydreamer, intuitive, naïve, sensitive and idealistic. They may be a water sign such as Cancer, Scorpio or Pisces</t>
  </si>
  <si>
    <t>Ace is the number of the Swords.In a general context, the Ace of Swords represents new ideas, new beginnings, new projects, new plans and breakthroughs. It also indicates intellectual ability, mental clarity, clear thinking and the ability to concentrate. This Minor Arcana signifies communication, vision, force, focus and intensity. It represents making correct decisions, being assertive and justice and authority. The Ace of Swords can indicate good news in relation to legal matters or legal contracts or letters that may be to your benefit.   </t>
  </si>
  <si>
    <t>2 is the number of the Swords.In a general context, the Two of Swords represents a stalemate, truce or being at a crossroads. It indicates that you are sitting on the fence or struggling to make/ avoiding a difficult, stressful or painful decision. It is the Minor Arcana of coming face to face with your fears. It can also signify being torn between two loyalties, relationships, situations, offers or people. It represents being caught in the middle of an argument or conflict and trying to mediate between opposing parties. The Two of Swords also represents blocking emotions, being in denial, blindness and an inability or unwillingness to see the truth.</t>
  </si>
  <si>
    <t>3 is the number of the Swords.In a general context, the Three of Swords represents unhappiness, heartache, sorrow and sadness. It is a Minor Arcana card of grief, loss, depression and tears and when it appears in your Tarot reading it generally indicates a period of difficulty or hardship, usually on an emotional level. Distraction, conflict, disillusion and serious misunderstanding are all represented by this card so whatever situation it signifies will bring with it confusion, upset and upheaval. The Three of Swords also indicates depression, trauma, disorders, loneliness, absence and betrayal. You have suffered or will suffer a loss or betrayal of some kind when this card appears and not one that can easily be brushed over. You will be feeling this loss on a deep emotional level and you must give yourself time to process what has happened. Though it does represent hardship, this card is not all bad. The most difficult situations in our lives often teach us more about who we are and what we are capable of than the good times. Give yourself space and time to heal and learn all you can from the experience. If you need support, don’t be afraid to reach out to the people that love you.</t>
  </si>
  <si>
    <t>4 is the number of the Swords.In a general context, the Four of Swords represents fear, anxiety and stress. You will be feeling overwhelmed and mentally overloaded when it appears. This Minor Arcana tells you that the issues you are facing are actually not as bad as you believe them to be and there are solutions available. However, it suggest that you are allowing negativity to set in and becoming so overwhelmed that you cannot see the woods for the trees. This card is more to do with your mental state than any problems you are facing. Relax, regroup and contemplate your situation in a calm rational way. If you leave aside your fears and logically plan for the future, you will find a way forward. The Four of Swords Tarot card also indicates that you are in need of peace and quiet, introspection, rest, relaxation and sanctuary. It is a card of recuperation and hospitalisation. And it signifies having faith or receiving spiritual counselling or support.   </t>
  </si>
  <si>
    <t>5 is the number of the Swords.In a general context, the Five of Swords is not always a good omen as it can represent defeat, change surrender and walking away. It is a Minor Arcana card of self-sabotaging or underhanded behaviour and deception and lack of communication. It can also represent serious conflict, stress and lack of communication. The Five of Swords Tarot card comes with a warning as it can signify hostility, aggression, intimidation and violence and as such it can represent situations we would hope to never encounter in our lives such as crime, theft, bullying, abuse, assault, rape, murder. On the other hand, it may simply represent the action one must take to overcome being challenged by others such as standing up for oneself and fighting back. As such it can be an indication of victory. If so, the victory it represents will be hard won as you will have quite a battle on your hands.</t>
  </si>
  <si>
    <t>6 is the number of the Swords.In a general context, the Six of Swords represents progress, moving into calmer waters, moving on or moving forward. It is a Minor Arcana card of overcoming hardship, healing, relief and stability so you can expect problems in your life to settle down and things to be much easier to deal with. The Six of Swords can also represent escaping, running away, journeys, travel, travelling overseas and going on holiday. It can signify feeling lethargic and deflated after coming through a tough time or the calm after the storm. It is also a Tarot card of intuition, inner guidance and spirit guides.   </t>
  </si>
  <si>
    <t>7 is the number of the Swords.In a general context, the Seven of Swords represents deception, lies, trickery, cheating and lack of conscience.  This card also signifies mental manipulation, tactics, scheming, cunning, enemies who masquerade as friends and spies in your camp. It is a Minor Arcana card of dangerous or risky behaviour, daring, courage and staying ahead of the game. The Seven of Swords can also represent flexibility, adaptability, sharp wit, resourcefulness, being strategic or being overly rational. This Tarot card can also signify underhanded behaviour, theft, burglary, fraud, dodgy deals and a general lack of conscience. It represents escaping detection and getting away with something.</t>
  </si>
  <si>
    <t>8 is the number of the Swords.</t>
  </si>
  <si>
    <t>9 is the number of the Swords.</t>
  </si>
  <si>
    <t>10 is the number of the Swords.</t>
  </si>
  <si>
    <t>King/Father is the number of the Swords.</t>
  </si>
  <si>
    <t>Queen/Mother is the number of the Swords.</t>
  </si>
  <si>
    <t>Knight/Prince/Young Adult is the number of the Swords.</t>
  </si>
  <si>
    <t>Page/Princess/Child is the number of the Swords.</t>
  </si>
  <si>
    <t>Ace is the number of the Pentacles.</t>
  </si>
  <si>
    <t>2 is the number of the Pentacles.</t>
  </si>
  <si>
    <t>3 is the number of the Pentacles.</t>
  </si>
  <si>
    <t>4 is the number of the Pentacles.</t>
  </si>
  <si>
    <t>5 is the number of the Pentacles.</t>
  </si>
  <si>
    <t>6 is the number of the Pentacles.</t>
  </si>
  <si>
    <t>7 is the number of the Pentacles.</t>
  </si>
  <si>
    <t>8 is the number of the Pentacles.</t>
  </si>
  <si>
    <t>9 is the number of the Pentacles.</t>
  </si>
  <si>
    <t>10 is the number of the Pentacles.</t>
  </si>
  <si>
    <t>King/Father is the number of the Pentacles.</t>
  </si>
  <si>
    <t>Queen/Mother is the number of the Pentacles.</t>
  </si>
  <si>
    <t>Knight/Prince/Young Adult is the number of the Pentacles.</t>
  </si>
  <si>
    <t>Page/Princess/Child is the number of the Pentacles.</t>
  </si>
  <si>
    <t>Card Image (Rider Waite)</t>
  </si>
  <si>
    <t>Image Path</t>
  </si>
  <si>
    <t>https://www.tarotcardmeanings.net/images/tarotcards-large/tarot-fool.jpg</t>
  </si>
  <si>
    <t>https://www.tarotcardmeanings.net/images/tarotcards-large/tarot-magician.jpg</t>
  </si>
  <si>
    <t>https://www.tarotcardmeanings.net/images/tarotcards-large/tarot-highpriestess.jpg</t>
  </si>
  <si>
    <t>https://www.tarotcardmeanings.net/images/tarotcards-large/tarot-empress.jpg</t>
  </si>
  <si>
    <t>https://www.tarotcardmeanings.net/images/tarotcards-large/tarot-emperor.jpg</t>
  </si>
  <si>
    <t>https://www.tarotcardmeanings.net/images/tarotcards-large/tarot-hierophant.jpg</t>
  </si>
  <si>
    <t>https://www.tarotcardmeanings.net/images/tarotcards-large/tarot-lovers.jpg</t>
  </si>
  <si>
    <t>https://www.tarotcardmeanings.net/images/tarotcards-large/tarot-chariot.jpg</t>
  </si>
  <si>
    <t>https://www.tarotcardmeanings.net/images/tarotcards-large/tarot-strength.jpg</t>
  </si>
  <si>
    <t>https://www.tarotcardmeanings.net/images/tarotcards-large/tarot-hermit.jpg</t>
  </si>
  <si>
    <t>https://www.tarotcardmeanings.net/images/tarotcards-large/tarot-wheeloffortune.jpg</t>
  </si>
  <si>
    <t>https://www.tarotcardmeanings.net/images/tarotcards-large/tarot-justice.jpg</t>
  </si>
  <si>
    <t>https://www.tarotcardmeanings.net/images/tarotcards-large/tarot-hangedman.jpg</t>
  </si>
  <si>
    <t>https://www.tarotcardmeanings.net/images/tarotcards-large/tarot-death.jpg</t>
  </si>
  <si>
    <t>https://www.tarotcardmeanings.net/images/tarotcards-large/tarot-temperance.jpg</t>
  </si>
  <si>
    <t>https://www.tarotcardmeanings.net/images/tarotcards-large/tarot-devil.jpg</t>
  </si>
  <si>
    <t>https://www.tarotcardmeanings.net/images/tarotcards-large/tarot-tower.jpg</t>
  </si>
  <si>
    <t>https://www.tarotcardmeanings.net/images/tarotcards-large/tarot-star.jpg</t>
  </si>
  <si>
    <t>https://www.tarotcardmeanings.net/images/tarotcards-large/tarot-moon.jpg</t>
  </si>
  <si>
    <t>https://www.tarotcardmeanings.net/images/tarotcards-large/tarot-sun.jpg</t>
  </si>
  <si>
    <t>https://www.tarotcardmeanings.net/images/tarotcards-large/tarot-judgement.jpg</t>
  </si>
  <si>
    <t>https://www.tarotcardmeanings.net/images/tarotcards-large/tarot-world.jpg</t>
  </si>
  <si>
    <t>https://www.tarotcardmeanings.net/images/wands-mini.jpg</t>
  </si>
  <si>
    <t>Justice, Adjustment</t>
  </si>
  <si>
    <t>Temperance</t>
  </si>
  <si>
    <t>Devil</t>
  </si>
  <si>
    <t>Moon</t>
  </si>
  <si>
    <t>Wands</t>
  </si>
  <si>
    <t>Cups</t>
  </si>
  <si>
    <t>Swords</t>
  </si>
  <si>
    <t>Pentacles</t>
  </si>
  <si>
    <t>Card Title &amp; Meaning</t>
  </si>
  <si>
    <t>Element</t>
  </si>
  <si>
    <t>Zodiac Sign</t>
  </si>
  <si>
    <t>Zodiac Symbol(s)</t>
  </si>
  <si>
    <t>Fire</t>
  </si>
  <si>
    <t>Aquarius</t>
  </si>
  <si>
    <t>♒️</t>
  </si>
  <si>
    <t>Air</t>
  </si>
  <si>
    <t>Aries</t>
  </si>
  <si>
    <t>-</t>
  </si>
  <si>
    <t>water</t>
  </si>
  <si>
    <t>Virgo</t>
  </si>
  <si>
    <t>Earth</t>
  </si>
  <si>
    <t>Taurus</t>
  </si>
  <si>
    <t>♉️</t>
  </si>
  <si>
    <t>♈️</t>
  </si>
  <si>
    <t>Gemini</t>
  </si>
  <si>
    <t>♊️</t>
  </si>
  <si>
    <t>Cancer</t>
  </si>
  <si>
    <t>♋️</t>
  </si>
  <si>
    <t>Libra</t>
  </si>
  <si>
    <t>♎️</t>
  </si>
  <si>
    <t>♍️</t>
  </si>
  <si>
    <t>Taurus, Scorpio, Leo, and Aquarius</t>
  </si>
  <si>
    <t>Water</t>
  </si>
  <si>
    <t>Pices</t>
  </si>
  <si>
    <t>Scorpio</t>
  </si>
  <si>
    <t>♏️</t>
  </si>
  <si>
    <t>FIre</t>
  </si>
  <si>
    <t>Sagitarius</t>
  </si>
  <si>
    <t>♐️</t>
  </si>
  <si>
    <t>Capricorn</t>
  </si>
  <si>
    <t>♑️</t>
  </si>
  <si>
    <t>♓️</t>
  </si>
  <si>
    <t>Sagitarius, Aries, Leo</t>
  </si>
  <si>
    <t>♐️ ♈️ ♌️</t>
  </si>
  <si>
    <t>Pices, Cancer, Scorpio</t>
  </si>
  <si>
    <t>Gemini, Libra, Aquarius</t>
  </si>
  <si>
    <t>Virgo, Capricorn, Taurus</t>
  </si>
  <si>
    <t>Astrological Influence</t>
  </si>
  <si>
    <t>Elemental Gender</t>
  </si>
  <si>
    <t>Direction</t>
  </si>
  <si>
    <t>Color</t>
  </si>
  <si>
    <t>Uranus</t>
  </si>
  <si>
    <t>Masculine</t>
  </si>
  <si>
    <t>South</t>
  </si>
  <si>
    <t>Red</t>
  </si>
  <si>
    <t>Mercury</t>
  </si>
  <si>
    <t>East</t>
  </si>
  <si>
    <t>Yellow</t>
  </si>
  <si>
    <t>Feminine</t>
  </si>
  <si>
    <t>West</t>
  </si>
  <si>
    <t>Black</t>
  </si>
  <si>
    <t>Venus</t>
  </si>
  <si>
    <t>North</t>
  </si>
  <si>
    <t>White</t>
  </si>
  <si>
    <t>Mars</t>
  </si>
  <si>
    <t>Jupiter</t>
  </si>
  <si>
    <t>Neptune</t>
  </si>
  <si>
    <t>Pluto</t>
  </si>
  <si>
    <t>Saturn</t>
  </si>
  <si>
    <t>Spirit of Fire</t>
  </si>
  <si>
    <t>Mars in Aries</t>
  </si>
  <si>
    <t>Sun in Aries</t>
  </si>
  <si>
    <t>Venus in Aries</t>
  </si>
  <si>
    <t>Saturn in Leo</t>
  </si>
  <si>
    <t>Jupiter in Leo</t>
  </si>
  <si>
    <t>Mars in Leo</t>
  </si>
  <si>
    <t>Mercury in Sagittarius</t>
  </si>
  <si>
    <t>Moon in Sagittarius</t>
  </si>
  <si>
    <t>Saturn in Sagittarius</t>
  </si>
  <si>
    <t>Sagittarius, Scorpio</t>
  </si>
  <si>
    <t>Aries, Pisces</t>
  </si>
  <si>
    <t>Leo, Cancer</t>
  </si>
  <si>
    <t>Aries, Leo, Sagittarius</t>
  </si>
  <si>
    <t>Cancer, Scorpio, Pisces and Spirit of Water.</t>
  </si>
  <si>
    <t> Venus in Cancer</t>
  </si>
  <si>
    <t>Mercury in Cancer</t>
  </si>
  <si>
    <t>Moon in Cancer</t>
  </si>
  <si>
    <t>Mars in Scorpio</t>
  </si>
  <si>
    <t>Sun in Scorpio</t>
  </si>
  <si>
    <t>Venus in Scorpio</t>
  </si>
  <si>
    <t>Saturn in Pisces</t>
  </si>
  <si>
    <t>Jupiter in Pisces</t>
  </si>
  <si>
    <t>Mars in Pisces</t>
  </si>
  <si>
    <t>Libra/Scorpio</t>
  </si>
  <si>
    <t>Water of Water</t>
  </si>
  <si>
    <t>Fire of Water</t>
  </si>
  <si>
    <t>female Earth of Water, Male Air of Water</t>
  </si>
  <si>
    <t>Spirit of Air</t>
  </si>
  <si>
    <t>Moon in Libra</t>
  </si>
  <si>
    <t>Saturn in Libra</t>
  </si>
  <si>
    <t>Jupiter in Libra</t>
  </si>
  <si>
    <t>Venus in Aquarius</t>
  </si>
  <si>
    <t>Mercury in Aquarius</t>
  </si>
  <si>
    <t>Moon in Aquarius</t>
  </si>
  <si>
    <t>Jupiter in Gemini</t>
  </si>
  <si>
    <t>Mars in Gemini</t>
  </si>
  <si>
    <t>Sun in Gemini</t>
  </si>
  <si>
    <t>Taurus/Gemini</t>
  </si>
  <si>
    <t>Virgo/Libra</t>
  </si>
  <si>
    <t>Fire of Air</t>
  </si>
  <si>
    <t>Female Earth of Air, Male Air of Air</t>
  </si>
  <si>
    <t>Spirit of Earth</t>
  </si>
  <si>
    <t>Jupiter in Capricorn</t>
  </si>
  <si>
    <t>Mars in Capricorn</t>
  </si>
  <si>
    <t>Sun in Capricorn</t>
  </si>
  <si>
    <t>Mercury in Taurus</t>
  </si>
  <si>
    <t>Moon in Taurus</t>
  </si>
  <si>
    <t>Saturn in Taurus</t>
  </si>
  <si>
    <t>Sun in Virgo</t>
  </si>
  <si>
    <t>Venus in Virgo</t>
  </si>
  <si>
    <t>Mercury in Virgo</t>
  </si>
  <si>
    <t>Aries and Taurus</t>
  </si>
  <si>
    <t>Water of Earth</t>
  </si>
  <si>
    <t>Fire of Earth</t>
  </si>
  <si>
    <t>Female Earth of Earth, Male Air of Earth</t>
  </si>
  <si>
    <t>Key Interpretations (Yes/No)</t>
  </si>
  <si>
    <t>Animal Reference</t>
  </si>
  <si>
    <t>Stone Reference</t>
  </si>
  <si>
    <t>Imagry Interpretaion</t>
  </si>
  <si>
    <t>Astrology</t>
  </si>
  <si>
    <t>Yes</t>
  </si>
  <si>
    <t>Eagle and Man</t>
  </si>
  <si>
    <t>Topaz</t>
  </si>
  <si>
    <t>A young man is standing at the edge of the cliff with a white dog accompanying him. He is holding a black wand that is a symbol of power. He is wearing a Laurel wreath on his head that shows optimism for success. The red feather shows his desire for adventure. He has his talents and skills in his satchel. The tall mountains in the background show his aims and inspiration. The white sun depicts the clarity of purpose.</t>
  </si>
  <si>
    <t>In astrology the fool’s planetary correspondence is Uranus. Uranus is the planet of freedom, sudden and unexpected changes, new or unconventional ideas and rebellion.</t>
  </si>
  <si>
    <t>Swallow, Ibis, and Ape</t>
  </si>
  <si>
    <t>Opal and Agate</t>
  </si>
  <si>
    <t>The meanings of ‘Le Bateleur’ is the bearer of the wand. The magician has a wand in his hand that is pointing upwards, which can mean that he cannot fulfill his tasks without constantly remaining in touch with the universe. The yellow color of the card shows warmth and joy. The infinity sign above his head shows unlimited potential. The red roses show his emotions and passion and white lilies show the truth of purpose. His red close shows his energy and vitality and the white shows the spirituality within a person.</t>
  </si>
  <si>
    <t>Mercury rules the magician card in tarot. Mercury is the planet of the mind, communication, writing, reason, intellect, and rationality. Mercury is comparable to the Greek god Herme. He was the god of speed, communication, salesmen, tricksters, and thieves.</t>
  </si>
  <si>
    <t>It is a secret</t>
  </si>
  <si>
    <t>Camel, Dog,  and Stork</t>
  </si>
  <si>
    <t>Moonstone, Pearl, and Crystal</t>
  </si>
  <si>
    <t>The High Priestess is sitting in a passive and Serene manner between two black and white pillars with the letters B and J written on them. The Pillars are Boaz and Jachin. These pillars represent the opposites, severity, and mercy, masculine and feminine, passive and aggressive, black and white. The seated figure of The High Priestess brings the balance among the extremes.
 There is drape behind the high priestess with pomegranates on it which are a symbol of the feminine principle, fertility and female sexuality. She has a crescent moon in her feet and an ocean in the background.  The number two represents the balance of dualities. The cross also represents balance.
The crown on her had represents three phases of the moon, waxing full and waning. That represents birth, life, death or the feminine archetypes of the maiden, mother, and crone. She holds a scroll in her hand that contains the divine law.
The blue color in the card represents intuitive emotions.</t>
  </si>
  <si>
    <t>In astrology, the planetary correspondence of the High Priestess tarot card is the Moon. Moon is the orb of response, reception, and reflection. The moon is associated with mother and feminine energy in general. Moon represents our unconscious, our emotions, heart, love the needs that we have inside and our inner reactions. The moon also represents our home, the feeling of belonging and support. It also reflects our fears and insecurities. The moon is also related to our past and our memories</t>
  </si>
  <si>
    <t>Sparrow, Dove, and Sow</t>
  </si>
  <si>
    <t>Emerald and Turquoise</t>
  </si>
  <si>
    <t>The Pregnant Empress is sitting comfortably with a red pillow supporting her back. The red pillow is a symbol of feminine comfort and sensuality. She is sitting among a field of the ripe wheat crop, a symbol of abundance, a spring, and trees around her. The spring shows constant refreshment and trees are a symbol of peace and serenity. She is an embodiment of mother-nature, feminine, creative and fertile. She is wearing a diadem with 12 stars on it representing the 12 signs of the zodiac; it is a marriage ring between earth and heavens. Each pearl of her necklace represents a planet. Her shield is near her feet and that has the sign of Venus on it. The pomegranates on her dress are the symbols of fertility. The wheat crop shows abundance. The pillow is a symbol of feminine comfort and sensuality. She has a scepter in her hand with an orb at the top. That is a symbol of feminine power.</t>
  </si>
  <si>
    <t>In astrology, The Empress card correspondences to Venus. Venus the planet of love, sensuality, luxury, art, music, dance, celebration, beauty, refinement, affection, pleasure, comfort, ease, arts and fashion takes the form of The Empress in tarot. Venus asks you the question, “what is your pleasure?”, so does the Empress. It is time to seek pleasure in life when this card appears. Venus the earth goddess is the lover and the artist. She is love and people are drawn to her. Venus also rules the monetary aspect of our lives. It also rules our sentiments and attachment to others.</t>
  </si>
  <si>
    <t>Ram and Owl</t>
  </si>
  <si>
    <t>Ruby</t>
  </si>
  <si>
    <t>The emperor is sitting on a throne that is made out of stone. This represents his authority and past experiences. He is holding a scepter in his hand with a symbol of “ankh” on it; ankh is the Egyptian symbol of life. There is a globe in his left hand that shows his power and domination. He is wearing armor underneath his clothes, which shows that he is keeping himself protected. The red color of his clothes represents passion as well as anger. He is wearing a crown on his head that shows material success and authority. There are 4 ram heads carved in his throne. Ram symbolizes Aries which is the ruling sign of the emperor tarot card, a masculine sign, ruled by Mars. He has a white beard that represents his mature age, experience, and wisdom.  This card shows some water in the background. Water represents his emotions but they are hidden and very balanced.</t>
  </si>
  <si>
    <t>The Emperor tarot card corresponds to Aries, the fiery sign of passion, adventure, and energy. Aries is ruled by Mars, which is the planet of war, ego, aggression, conflict, and vigor. The Aries makes the Emperor pioneering, courageous, enthusiastic, confident, quick-witted, and dynamic. Aries is a sign of strong leadership.</t>
  </si>
  <si>
    <t>Ask someone wise</t>
  </si>
  <si>
    <t>Bull</t>
  </si>
  <si>
    <t>The Hierophant is seated on a stone throne between two grey pillars. These pillars are two opposing forces. These can be pillars of severity and mercy from the tree of life and can also be pillars of law and liberty. Some consider these pillars of obedience and disobedience.  There is an empty space between the pillars that shows that the knowledge shared by the Hierophant is open for all. Two fingers of the right hand of the Hierophant are pointing towards the heavens and two are pointing towards the earth. These symbolize that he is a bridge between the heavens and the earth. He is wearing a three-tiered diadem on his head that symbolizes his spiritual authority. Two worshipers are sitting in front of him. This card also depicts the relationship between the teacher and the pupils. The roses and lilies on the shirts of the worshipers symbolize purity and passion.</t>
  </si>
  <si>
    <t>Taurus rules the path of the Hierophant. Taurus is a fixed earth and it is represented by the bull.
Taurus is grounded, realistic, devoted, responsible, stable and practical due to the influence of the Earth element. The influence of Taurus makes a person logical, practical, devoted, responsible, stable, generous, trustworthy, determined, understanding, kind, enduring, persistent, solid, determined, organized and patient. Both the Hierophant and the Taurus bring structure and propriety.</t>
  </si>
  <si>
    <t>Magpie</t>
  </si>
  <si>
    <t>Alexandrite, Tourmaline, and Iceland spar</t>
  </si>
  <si>
    <t>A naked man and woman are standing naked in the Garden of Eden. There is the Tree of knowledge behind the woman and tree of life behind the man. The tree of life has 12 flames on it that represent the 12 signs of the zodiac. There is a serpent wrapped around the tree of knowledge that shows temptation, but the woman is looking at the angel and not at the snake. The women and man, are not wearing anything, which shows that they have nothing to hide from each other. The image of angel Raphael is above their heads giving them blessings. Raphael is the angel of air. There is a huge and warm sun behind the angel. The sun represents warmth, joy, energy, vitality, and passion. If we look at the imagery of the card, the lovers’ card gives the idea of soul mates. Two people who are just made for each other, the people who have nothing to hide and who are attracted to each other. On pictorial level, this is a card of love, harmony, passion, and attraction but on a deeper level, it is about the connection and harmony between polarities. The woman represents the emotional side and the man represents the logical side within a person. This is also a card about choices as well as about harmony. Whether the querent wants to choose logic over emotions or emotions over logic or will he or she wants to proceed with the perfect harmony of both. In ancient decks, there were two women on the lover’s card standing beside the man. They make it clearly a card about choices.</t>
  </si>
  <si>
    <t>The corresponding sign of the Lovers card in astrology is Gemini. Gemini is a sign of creativity, communication, wisdom, playfulness, versatility, and energy. Gemini people are witty, communicate, charismatic and really witty. Gemini is a mutable air sign. In tarot, Air is associated with the suit of swords and it represents thought and logic.</t>
  </si>
  <si>
    <t>Crab, Turtle, Sphinx, and Whale</t>
  </si>
  <si>
    <t>Amber</t>
  </si>
  <si>
    <t>A young man, probably a prince is standing on his chariot. He is holding a wand in his hands that shows his will and authority but the wand is blue in color so it also represents his emotional side. He is wearing an armor that shows protection. His chariot is driven by two sphinxes, one is black and the other is white. These sphinxes represent polarity or opposing forces, these may represent the masculine and feminine aspects of one’s nature or the influence of good and evil. The prince is wearing a crown with laurel wreath and eight-pointed star, this represents hope and victory. The eight-pointed star has significance in many religions. There is a canopy above his head with the stars made on it, this represents celestial influence. There is a winged sun made on his chariot that shows his inspirations. A square on his chest indicates that he is stable and grounded. There are buildings in the background, probably his palace and also a river flowing behind him, these show that he is so focused on his goals and determined to achieve the victory that he is not hesitant to leave luxury or comforts of home and not scared to cross any obstacle.</t>
  </si>
  <si>
    <t>The Chariot card corresponds to the zodiac sign of Cancer. Cancer is ruled by the moon that is the planet of intuition, reflection, and inspiration. Cancers are extremely self-protective. This trait of the sign is visible in the armor and canopy of the chariot rider. Cancers are gentle in nature; they are compassionate, mystical and genuine. Cancers are emotionally intelligent, just like our charioteer they know how to use their emotions as strength and not as a weakness. Just like our charioteer perseverance is a very strong trait of their personality.</t>
  </si>
  <si>
    <t>Lion, Cat, Tiger, and Serpent</t>
  </si>
  <si>
    <t>Cat's eye</t>
  </si>
  <si>
    <t>This is a very vibrant and bright card in terms of colors. In the image, a woman, cladded in a white dress is holding a lion by its jaws. The lion is not showing any resistance. The white dress of the woman represents her purity of spirit and virtue. A garland of red roses on her dress is a symbol of her love and compassion. Yellow color in the background is a symbol of clarity, energy, and optimism. There is an infinity sign above the woman’s head, the same as we see in the magician card. This is representative of her unlimited potential.  A mountain in the background represents stability and green grass in the foreground shows abundance and well-being. The lion is traditionally a symbol of courage, nobility, royalty, strength, and valor. In this card, it can represent the passion and desire that one has inside them. The Lion symbolizes such power that can be used both constructively and destructively.</t>
  </si>
  <si>
    <t>Strength tarot card is astrologically influenced by Leo. Leo is a sign of intelligence, boldness, warmth, courage, high self-esteem, confidence, dominance, power and control. The Lion is the beast associated with Leo but Leos have power and strength to tame this lion. Sun is the ruling planet of Leo and Leo rules the fifth house of the zodiac. This house is associated with creativity and creation.</t>
  </si>
  <si>
    <t>Maybe</t>
  </si>
  <si>
    <t>Peridot</t>
  </si>
  <si>
    <t>An old man wearing a grey hooded cloak is standing at the top of the mountain. The cloak is a symbol of invisibility as they grey of the cloak just merges in the neutral grey background. He doesn’t want to get noticed. His beard is white that shows his wisdom. He is holding a staff of authority in his left hand and a lantern of truth in his right hand. There is a six-pointed star inside his lantern which is a sign of hope and inspiration. The six-pointed star is formed by joining the fire and the water triangles. It represents the masculine and feminine principles in perfect union. The white peaks of the mountains represent the past achievements and accomplishments of the hermit. He is at the top. He is alone but not lonely. Others can seek their path in the light of the truth that he shares.</t>
  </si>
  <si>
    <t>The hermit corresponds to the sign of Virgo (the virgin) in astrology. Virgo is a feminine and mutable earth sign. It reflects the qualities of precision, logic, intellect, and reliability. Virgos are helpful, persistent, organized, modest, devoted, analytical and helpful people. They are reliable like our wise old hermit. You can depend on both. Virgo rules the sixth house of the zodiac which is related to work and service to others. Virgo is ruled by Mercury which is the ruler of the Magician card. You may say that the hermit is the magician at his old age. He is now old and more matured.</t>
  </si>
  <si>
    <t>Eagle</t>
  </si>
  <si>
    <t>Amethyst and Lapis Lazuli</t>
  </si>
  <si>
    <t>This card is rich in symbolism. Several important magical and alchemical symbols are present in the imagery of this card. The most important symbol is the wheel itself that depicts the cyclic nature of life.
The Wheel has letters TORA written on it. These could be read as TORA (old name of Torah), ROTA which means TAROT wheal and TARO or TAROT. There are four Hebrew letters present on the wheel too which are ה, ד, ה, and י. These are believed to spell the name of God in Hebrew. Alchemical symbols of Mercury, Sulphur, Water, and Salt are made in the middle of the wheel.
There is a Sphinx at the top of the Wheel. The Sphinx is a stable element in the midst of change. The sword in the hand of the sphinx denotes the clarity of thought. There is a deadly snake on the left side of the wheel which is the god of evil. Image of Anubis is made below the wheel which represents good fortune and success.
 There are four winged figures in each corner of this card; a man or an angel that wings make him, which is considered representative of the zodiac sign of Aquarius or air, an Eagle that represents the sign of Scorpio or water, a Lion which represents Leo or Fire and a Bull that represents the sign of Taurus or Earth. These signs also represent intellect, emotions, passion, and possessions. Each animal is holding the book of Wisdom in their hands.</t>
  </si>
  <si>
    <t>Jupiter, the planet that corresponds to the wheel of fortune tarot card, is the planet of growth, expansion, healing, prosperity, good fortune, long-distance travel. It is related to miracles, business, wealth, luck, and optimism. Jupiter is the fourth brightest object in the sky after the sun, moon, and Venus. Jupiter is the ruler of the ninth house, which is related to good luck, wealth and higher learning. Jupiter is the largest planet in the solar system and it symbolizes the strength of the expansion. It is called ‘Planet of greater fortune’.</t>
  </si>
  <si>
    <t>Not certain</t>
  </si>
  <si>
    <t>Elephant, and Spider</t>
  </si>
  <si>
    <t>Emerald</t>
  </si>
  <si>
    <t>A female figure is seated on a stone bench which is the seat of power. She is holding a double-edged sword in her right hand. The sword represents both favorable and unfavorable consequences. She holds a scale in her left hand. Scales are the symbol of the sign of Libra which is the ruling sign of this card. The scales represent justice, truth, and balance. Just like the high priestess and hierophant cards, this card also shows two pillars, one is the pillar of severity and the other is the pillar of mercy. The figure is seated in the middle of the two extremes that represent fair and balanced judgment. Behind the figure, a violet veil is covering the background. The violet color symbolizes wisdom, dignity, and compassion. There is a yellow color behind the veil that shows that a new dawn will begin once the justice is served.  A crown on the figure’s head shows her status and square jewel on the crown shows her clarity of thought. A square clasp that is holding her cape also depicts rationality and order. Her red robe depicts courage and the green cape is the symbol of vitality and life. This figure reminds us of the Egyptian goddess Maat whose job is to weigh the souls against a feather.</t>
  </si>
  <si>
    <t>The corresponding sign of the Justice card in astrology is Libra. Libras are charming, fair, peaceful and understanding.
The resolve issues with diplomacy. They are generally cooperative, communicative, peace-loving, balanced, and friendly. Libra rules the 7th house of the zodiac that is related to intimate relationships, marriage, and partnerships. Libra is ruled by Venus.</t>
  </si>
  <si>
    <t>Eagle, Snake, and Scorpion</t>
  </si>
  <si>
    <t>Beryl and Aquamarine</t>
  </si>
  <si>
    <t>A man is hanging upside down by one ankle on a Tau cross-shaped tree. Tau cross has many meanings; it is the symbol of the meeting place between the earth and the sky. That meaning brings deeper spiritual attributes to this card. Tau is the final letter of the Hebrew alphabet. It is numbered 300 in the Greek and 400 in the Hebrew numerical alphabet. It is also considered a phallic symbol.
The person is in a reversed position that shows a complete reversal of perspective. Even though he is in such a difficult position, his facial expressions are calm and serene. A rope is tied to the left ankle of the hanged man and to the top of the tree. The rope is a depiction of confinement and control. The person is wearing red pants which show passion, energy, vitality, and strength. His shirt is blue, which is a color of wisdom, truth, confidence, and faith. Both blue and red bring each other in neutrality and harmony. This card has a grey background; grey is also a neutral color. The hanged man has golden hairs that show his compassion and wisdom and there is a yellow halo behind his head which shows divinity and enlightenment, a deeper connection with the higher self. He has tied his arms behind his back in the form of a triangle. The right side up triangle is considered masculine, solar, and active. This triangle also symbolizes balance.</t>
  </si>
  <si>
    <t>Neptune is the corresponding planet of the hanged man. In Roman mythology, Neptune is the god of the seas. Neptune is linked to spirituality, magic, daydreaming, fantasy, and intuition. Neptune is associated with spiritual enlightenment. It is a planet of mercy and compassion. Neptune is considered a planet of inspiration, dreams, imagination, illusion, delusions, and confusion. Neptune rules spirituality, and all things subtle.  Neptune is the planet that brings us to a deeply spiritual place. This planet rules Pisces and the 12th house of the zodiac that is associated with secrets, spirituality, and subconscious.</t>
  </si>
  <si>
    <t>No</t>
  </si>
  <si>
    <t>Scorpio, beetle, crayfish, lobster, and wolf</t>
  </si>
  <si>
    <t>Snakestone</t>
  </si>
  <si>
    <t>An armored skeleton is riding a white horse. Skeleton is a symbol of death but its armor symbolizes protection. There is a red feather on its helmet that symbolizes power. White is the color of purity and the horse symbolizes movement. It shows that they are purifying the place where they move. The skeleton is holding a flag in its hand that shows an announcement. Black color on the flag shows authority, it is also a color of death and mourning but the while rose symbolizes beauty. It is a sign of a new beginning. The sun is rising in the background that symbolizes a new beginning. There is water in the background that mostly symbolizes intuition and emotions. There are four figures in the foreground, a fallen king whose crown of power is also lying on the ground, a child, a maiden and a priest. This shows that inevitable change doesn’t care if it is hitting wisdom, youth, spirituality or innocence. Everything has a limited period of life and change is important to make room for a new start.</t>
  </si>
  <si>
    <t>In astrology, the death tarot card corresponds to the sign of Scorpio. Scorpio is a fixed water sign. Scorpios are generally brave, passionate, ambitious, focused, and determined. Scorpio is the sign which is associated with sex. Scorpio is ruled by Pluto, the planet that governs destruction, death, change, and transformation. Scorpios can be ambitious but can also be jealous and very controlling.</t>
  </si>
  <si>
    <t>Dog, Horse, Centaur, and Hippogriff</t>
  </si>
  <si>
    <t>Jacinth</t>
  </si>
  <si>
    <t>A red-winged angel wearing a white robe is standing with one foot on the ground and one foot in the water. Angel is a symbol of devotion and love and red wings represent wise counsel. Angel also represents the balance between genders. The angel has a halo on the head that shows divinity and a solar symbol on the crown that depicts clarity of thought. The white dress depicts the purity of intention. One foot on the ground and one in the water symbolize the connection between the emotional and physical world. The angel is pouring water from one chalice to the other. This action is done in a flawless way. This flow of water depicts the flow of life. The green color in the card shows growth. There is a path of life on the left that is leading towards a bright sun. The sun depicts energy, vitality and a new dawn. It shows that the path of life is leading to success. The faraway mountains can be obstacles and also be a representation of the goals that one has in life. There are two yellow Iris flowers on the right side, which show the wisdom and passion. There are two flowers, two chalices, and two wings. Two is the number of balance and harmony.</t>
  </si>
  <si>
    <t>Sagittarius corresponds to the Temperance tarot card. Sagittarius is a sign of philosophy, travels and long-distance education. Sagittarians are smart, caring, deep, honest, adventurous, optimistic, independent, and philosophical. They love their freedom and they love to travel. They dislike being constrained and also dislike clingy people. Sagittarius is ruled by Jupiter, which is the planet of luck and expansion. Sagittarius is a mutable fire sign.</t>
  </si>
  <si>
    <t>Goat, Ass, and Oyster</t>
  </si>
  <si>
    <t>Black Diamond</t>
  </si>
  <si>
    <t>In this card, the figure of the devil is seated on a cube-like pedestal, which symbolizes power and authority. His one hand is raised forming a Vulcan salute. This hand sign is done during the performance of the blessing by the Kohanim, who stand at the front of the sanctuary and bless the congregation. The card has a black background that shows evil powers, mystery, and aggression here. This color shows the dark side of the personality. The devil has a reversed pentagram on his head with two points projecting upwards. It is a symbol of disharmony and evil because it overturns the proper order of things and demonstrates the triumph of matter over spirit. It is the goat of lust attacking the heavens with its horns. The devil has goat horns on his head that show his diplomatic yet warrior nature. The bat wings show his ego and they also depict a sense of illusion. The devil figure has eagle claws that again show his power. He has an inverted torch in his hand. An inverted torch is generally a symbol of extinguished life but here we can see that the male figure has taken the fire from this torch. So we may say that here his torch is to burn the lustful desires in people.
There is a round ring inserted in the pedestal where the devil is seated and two chains are extending from it which have enslaved a nude male and a nude female figure. These figures are the same as we have seen in The Lovers card but here they have horns on their heads. These horns symbolize the earthly desires and animal instincts within every human. These two figures have apparently given up to those instincts and have their inner devil showing outside too. They have tails with grapes and a flame at the end. These represent addiction to pleasures, power, and lust.
They are chained but the chains are really loose in their necks. If they desire, they can remove these from their necks but they are enslaved by choice.</t>
  </si>
  <si>
    <t>The Devil card has the astrological influence of the zodiac sign of Capricorn. Capricorn is the cardinal earth sign of entrepreneurship and business.  Capricorns are ambitious, persistent, practical, successful and sometimes condescending, unforgiving and stubborn as well. They care about social standings a lot. Capricorns tend to achieve positions of power and surround themselves with highly successful personalities. Capricorn is the sign where Mars exalts.</t>
  </si>
  <si>
    <t>Horse, bear, wolf, and boar</t>
  </si>
  <si>
    <t>Ruby or any red stone</t>
  </si>
  <si>
    <t>There is a tower that is struck by a lightning bolt. The Tower is a symbol of power and grandeur and it depicts the hope for the future. A tower is also considered a phallic symbol. Light symbolizes knowledge and wisdom and a sudden strike by lightning bolt means sudden awareness and destruction of ignorance. It symbolizes a sudden revelation. The grey clouds in the background show short-lived bad events and the black color symbolize power, strength, and aggression. A crown is blown off the top of the tower. Crown is a symbol of power and authority and it shows that there is a loss of power, authority, and status. Male and female figures are falling off the tower. Their blue dress depicts, trust, wisdom, and confidence but nothing is helping them. They are falling headfirst and there are rocks at the bottom of the card that also shows difficult times. There are 22 flames in the background. These flames represent 22 cards of major arcana and also there are 22 letters in the Hebrew alphabet. In the Kabbalah, there are 22 paths between the Sephirot.</t>
  </si>
  <si>
    <t>The path of the Tower card is ruled by the planet Mars. Mars is the planet of aggression, sexuality, self-assertion, energy, impulsiveness, quick action and courage. Mars is the god of war and the ruler of Aries. Aries corresponds to the Emperor Tarot card. When we are acting out our Mars, we are assertive and adventurous. Mars is fast, instinctive, rash, aggressive, and angry just like the Tower tarot card.</t>
  </si>
  <si>
    <t>Eagle and Peacock</t>
  </si>
  <si>
    <t>Artificial Glass</t>
  </si>
  <si>
    <t>A naked woman is holding two jugs in her hands and she is pouring water in a pond from one jug and on the land with the other. Her nudity symbolizes the truth and purity. She has nothing to hide. The jug in her right-hand shows the conscious self and in the left one shows the subconscious self. The flowing water from the jugs shows the flow of life. The blooming flower buds in the grass symbolize hope, birth, and renewal. The nude figure has one foot in the water and one on the land, just like the Temperance card she is constantly keeping a connection and revitalizing her intuitive self and her connection with the reality. The sky in the background has a bright blue color as the sky of dawn and that represents trust, wisdom, and clarity. A bird is sitting on a tree that is probably Ibis. The bird is a symbol of freedom and Ibis is considered a symbol of wisdom. There is a huge eight-pointed star in the middle of the sky. The eight-pointed star has significance in many cultures. Generally, a star is considered a sign of hope and direction. In Babylonian culture, the eight-pointed star is considered the star of Ishtar. She is associated with the planet of Venus. Planet Venus looks like the brightest star at the sky at dawn. It is also called the morning star and a symbol of guidance. There are 7 smaller white stars also present in the sky. These cards represent the 7 chakras and also the Pleiades, the 7 orphan sisters who were ignored by the tribe after the death of their parents and who turned into doves and then stars. The Pleiades or 7 sisters symbol associates with coping up with sorrow and renewal of hope. The 7 chakras refer to the kundalini energies. The number 7 is considered a very important number in many cultures and religions. There are mountains in the background that show future goals and also obstacles that have yet to come.</t>
  </si>
  <si>
    <t>The corresponding sign to the Star tarot card in astrology is Aquarius. Aquarius is represented by the water bearer, the healer who gives water, or life, to the land. It seems to have a great similarity with the Star card. Aquarius is an air sign. People who have the sun in Aquarius in their birth charts are usually analytical, easy-going, and helpful. They are free thinkers, fight for causes, serve humanity and indulge in intellectual conversations. Aquarius is ruled by Uranus which is the planet of rebellion and freedom. Aquarius rules the 11th house which is considered the house of friends. This house works with the power of collective and associate with clubs, organizations, social groups, and networking organizations.</t>
  </si>
  <si>
    <t>Fish, dolphin, dog, and jackal</t>
  </si>
  <si>
    <t>Pearl</t>
  </si>
  <si>
    <t>Two canines are howling at the moon, one is a dog that shows the tame side of the mind and the wolf shows the wild side. The moon’s reflected light has enlightened the scene but this light is not enough for clear visibility.
This shows three phases of the moon, crescent, waxing half and full. The crescent moon shows our instincts, the waxing half is symbolic of fertility and the full moon refers to the completion of the cycle. The reflected light symbolizes that you are not having your own independent thoughts but these are maybe in someone’s influence. The path represents the path of one’s life and it is a bit winding and not clearly visible. There is a pond of water, water shows our emotions and intuition and a crayfish is crawling off the water. The crayfish symbolizes our dreams and subconscious mind, it also symbolizes regenerations as when a Crayfish loses legs or claws, and they can regrow. The dark sky shows the worries and fears. The moon is shining above two pillars. These are the same pillars that we see in other cards that represent duality and opposition. One pillar is the pillar of severity and the other is the pillar of mercy. There are 32 spikes of light around the moon which represent 32 paths of wisdom in the Kabbalistic tree of life.</t>
  </si>
  <si>
    <t>In astrology, the moon tarot card corresponds to the Sign of Pieces. Pieces is a spiritual sign. Pieces people are emotional, empathetic, selfless and compassionate. They are generous, amiable and positive with healing qualities. Pieces is a water sign and it is deeply connected to emotions and intuitions. Just like this moon card the pieces people are dreamy, emotionally sensitive with a vivid imagination.</t>
  </si>
  <si>
    <t>Lion, sparrow hawk, and leopard</t>
  </si>
  <si>
    <t>Crysolith</t>
  </si>
  <si>
    <t>A naked child is sitting on a white horse. The child is a symbol of purity and innocence and also symbolizes that there is nothing to hide. This is a symbol of Apollo. Apollo is the Olympian god of the sun, music, poetry, healing, knowledge, beauty, archery, and agriculture. The child is holding a big piece of cloth that looks like a banner. This is a sign of love, passion, freedom, and happiness. The child has golden hair and wearing a floral wreath with a red feather on it. The golden hair symbolizes wisdom and enlightenment, flowers represent beauty and red feather represents life and vitality and also gentleness. There is a wall behind the child that show the boundaries and restriction that is left behind. There are four sunflowers behind the wall. Sunflowers are a symbol of loyalty and longevity and these four flowers represent 4 suits of Minor Arcana. Bright sun is illuminating with full force and has bright sun rays around it. Sun is a symbol of life, warmth, splendor, success, health, and vitality. The sun rays show the illumination and strength of the sun. Overall this is a very bright and vibrant card with vivid colors and happy imagery.</t>
  </si>
  <si>
    <t>The Sun tarot card corresponds to the Sol or the Sun in Astrology. The Sun is majestic and it has masculine powers. It represents our conscious mind. The sun represents our ego, self-esteem, determination, strength, passion, ambition and purpose. This is associated with our fame, public acclamation, and recognition. The Sun shows our basic character and self-realization.</t>
  </si>
  <si>
    <t>Lion</t>
  </si>
  <si>
    <t>Fire-Opal</t>
  </si>
  <si>
    <t>An angel is blowing a trumpet and naked people are rising from the coffins. The angel is actually Archangel Michael. Michael is the Archangel of safety, security, harmony, clarity and moving forward. Archangel Michael represents the element of fire. Michael specializes in helping with truth and courage. Red wings of the angel show wise service. The blue shirt of the angel and the blue sky show wisdom and confidence. A white and red flag is attached to the trumpet; the white color symbolizes peace and the red cross symbolizes protection and neutrality. It also represents the connection between heaven and earth, another interpretation is that it represents four rivers of paradise. There are mountain peaks in the back that show the past. The figures rising from the coffin symbolize rebirth. They are naked as they have nothing to hide and they do not care about their physique. They now care about their spiritual side of personality. There are 2 men, 2 women and 2 children in the card, they have raised and stretched arms as if they are accepting higher knowledge. Their grey bodies show neutrality, that they are ready to accept change.</t>
  </si>
  <si>
    <t>In astrology, the Judgment card corresponds to the planet, Pluto. In Greek mythology, Pluto was the god of the underworld and also the god of wealth because diamonds and other jewels come from underground. Pluto rules death and afterlife, fear, transformations, disasters, power, rebirth, sex, wealth reinvention, regeneration, occultism and major disasters. Pluto rules Scorpio and the 8th house.</t>
  </si>
  <si>
    <t>Crocodile</t>
  </si>
  <si>
    <t>Onyx</t>
  </si>
  <si>
    <t>A beautiful maiden is dancing while holding two white wands in her hands. The dance symbolizes happiness, contentment, victory, and abundance. The white wands symbolize spiritual wisdom. These wands also depict the connection between the heavens and earth. She is wearing a long flowing scarf in purple color. This scarf represents courage, survival, and honor. The maiden is enclosed in an oval Laurel wreath. Laurel wreath is a symbol of victory and success. The oval shape represents birth and rebirth. It is also a symbol of fertility. There are four figures in the corner of the card. These are the same 4 figures that we have seen in The Wheel of Fortune card earlier. The angel represents guidance, protection, the element of air and the sign of Aquarius. The Eagle represents vision, power, and element of water and the sign of Scorpio. The Lion represents bravery, vigilance, the element of fire and the sign of Leo. The Bull represents physical power, the element of earth and the sign of Taurus.  The blue sky in the background represents wisdom and confidence.</t>
  </si>
  <si>
    <t>The world card corresponds to the planet of Saturn in astrology. Saturn is the planet of focus, determination, introspection, limitations, structure, and ambition. Saturn represents both the rewards and disadvantages of hard work. In Roman mythology, Saturn is the god of agriculture, civilizations, social order and conformity. Most people experience 3 Saturn cycles in their lifetime. Saturn rules Capricorn, the sign of hardworking people. It rules the tenth house which is about career, social standing, power, prestige, achievement, respect, and position. Saturn is known as the planet of Karma. It brings structure and meaning to the world.</t>
  </si>
  <si>
    <t>Diamond</t>
  </si>
  <si>
    <t>A hand holding a wand is emerging from grey clouds. Clouds generally represent stability and inner consciousness and grey clouds represent transitions. The right hand is generally the giving hand and the Divine is also symbolized by showing a hand. The white rays of light emerging from the hand represent hope and positivity. The budding leaves are a sign of growth and rebirth. The wand itself is a symbol of ambition, passion, and inspiration. This also somehow looks like a phallic symbol.
There is a castle in the background that symbolizes structure, security, protection, and power. The blue river shows freedom and the flow of life and the greenery symbolizes growth. The mound shows a goal and it also represents high attainment.</t>
  </si>
  <si>
    <t>In Astrology, the Ace of wands symbolizes all the fiery signs which are Aries, Leo, and Sagittarius. Fire symbolizes energy, passion, action, authority, creativity, forward motion, illuminations, and enlightenment. Fire is a powerful symbol both in tarot and astrology and it has a special significance in many religions. In Hinduism, the goddess Agni is the goddess of fire and in the Zoroastrian religion, that fire is a pure element. Fire is a very powerful and pure element. It is used for construction and also for destruction.</t>
  </si>
  <si>
    <t>Star Ruby, and Turquoise</t>
  </si>
  <si>
    <t>A man who looks wealthy from his dressing is standing on the balcony of a castle and looking at the houses, sea, mountains, and valley in front of him. Standing on a higher position shows his achievements and social standing. His red cap shows his passion and the cape depicts his confidence. His red shows symbolize his independence and power and show that he is ready and free to move forward. His orange dress signifies his creativity and enthusiasm. The man is holding a globe in his hands. This might show that he has the whole world in his hands or he is carrying his own world with him. There are two wands on this card. Wands are a symbol of passion, enthusiasm, drive, and motivation. One wand is erected in the roof besides him that symbolizes the stability of his passion and the other is in his hand in the form of a staff that shows the support he has for his passion. New leaves are growing on both wands which show that growth is happening in this person’s life. The far off mountains show the goals and ambitions, the green valley symbolizes abundance and fertility and the calm blue sea depicts stability of emotions. The man is analyzing the situation and his resources and making some important decisions with the support of his passion. He might embark on a new journey or take further initiative for growth.</t>
  </si>
  <si>
    <t>Two of Wands is attributed to the first decan of the fiery sign of Aries where the planet Mars is in Aries. The first decan of Aries starts from 21rst March and lasts till 30th March. Mars is the ruling sign of Aries and is at home here. Mars is the planet of confidence, aggression, sexuality, energy, strength, and ambition. When Mars is in Aries they are in perfect harmony but full of fiery passion and energies. There is no resistance and together they can move forward with confidence and assurance. So under the influence of Mars in Aries, ‘two of wands’ is a card of spontaneity, action, energies, and innovation.</t>
  </si>
  <si>
    <t>Star Sapphire, Pearl</t>
  </si>
  <si>
    <t>A man is standing on the edge of a cliff and looking at the boats and the mountains. He is standing on a higher position, above the rest of the things. This means that he has risen from the ordinary. The sky around him is orange in color. It represents the time of dusk. His red dress shows his passion and energy and the green color in his dress symbolizes growth and freshness. The day is coming to an end. This shows that work for today is done. Three wands are planted firmly in the ground. These wands represent the work that is done, an established position, and also the support he is now receiving from his creative passion. If we look at the wands, these wands form a triangle. A triangle is a symbol of structure and security. The orange sea represents vitality and enthusiasm and the far off mountains symbolize the goals. There are many boats sailing in the sea. The boats represent freedom, progression, travel, and movement. Things are not stagnant, they are moving and changing</t>
  </si>
  <si>
    <t>The decan of the ‘Three of Wands’ is ruled by Sun in Aries. The golden dawn designers called it the ‘Lord of Established Strength’. Sun is the masculine symbol of power, vitality, energy, and stamina and Aries is a sign of adventure, courage, enthusiasm, and confidence. Together they bring out confidence and warrior energies.  The Sun in Aries kindles your heart with passion and enthusiasm. The Sun is mostly in Aries from March 21rst to April 19th.</t>
  </si>
  <si>
    <t>Amethyst, Sapphire, Lapis Lazuli</t>
  </si>
  <si>
    <t>The image shows 4 firmly erected staves (wands) in the ground that are covered with a garland of flowers, fruits, and grapes. The wands form a square on the ground. Both number 4 and the square are symbols of strength, stability, structure, and a solid foundation. The garland is a symbol of purity, peace, and social recognition while the grapes depict fertility. The garland forms the shape of an arch which is a passageway. There is a castle ahead that depicts grandeur, structure, and solidity. One moves to a more secure future through this passageway. There is a moat in the background with a bridge over it. Moat is a symbol of barrier and defense and a bridge connects two things and also takes you to another side. So here the bridge symbolizes union and also transition. The background of this card is a bright yellow that signifies clarity, energy, and optimism. There is a crowd gathered in the background that depicts some kind of celebration. Two women in robes are holding bouquets of flowers in hands. The robes show social standing while the flowers symbolize happiness and beauty. This is overall a happy and vibrant card of joy and celebration.</t>
  </si>
  <si>
    <t>Two of Wands is attributed to the third decan of the fiery sign of Aries where the planet Venus is in Aries. The third decan of Aries starts from 11th April and lasts till 20th April. Venus is the sign of love, sensuality, luxury, art, beauty, and dance. This corresponds to the Empress card in Tarot and when it meets the fiery qualities of the Emperor. Emperor that is ruled by Aries, the union develops a perfect harmony, a balance, and perfection. The golden dawn designers called this card “Lord of Perfected Work”. This card is a perfect depiction of the harmony between masculine and feminine.</t>
  </si>
  <si>
    <t>When you look at this card, it seems like a scene from a fight with 5 young men holding huge staves in their hands, probably hitting each other but when you look again, it seems not that intense. It looks like kind of a playful fight or practice or challenge than fierce and intense combat. There is a bright blue sky in the background that shows confidence. The ground at the feet of the men symbolizes a firm foundation (for their beliefs). Each man is wearing a tunic, legging, and shoes of different colors. The red show’s energy and passion, the olive green symbolizes diplomacy; the blue is the color of wisdom, pale yellow shows energy, the circles on one tunic represent self and wholeness. It seems like all the people firmly hold their opinion and all of them have a very different opinion that is showed by the colors of their dresses. They are not very hostile but they are also not listening to the opinion of the other person. In this card, the energy is scattered and no one is focusing on the same point. This card represents a conflict of opinion among a group of people and also the conflict one holds inside. Golden dawn designers called this card ‘The Lord of Strife’.</t>
  </si>
  <si>
    <t>In astrology, the Five of Wands corresponds to the first decan of Leo. The first decan of Leo is ruled by the planet of limitations, discipline, structure, and boundaries called Saturn. The span of this decan is from July 21st till August 1st. When Saturn enters Leo, an urge to control the environment emerges but Saturn in Leo brings both challenges and opportunities.</t>
  </si>
  <si>
    <t>Topaz, Yellow Diamond</t>
  </si>
  <si>
    <t>A man is riding a white horse and there is a crowd in the background. The man looks like a man of authority as he is wearing a laurel crown on his head that is a symbol of victory; his maroon robe symbolizes his confidence. He is holding a staff in his hand that has a laurel wreath at the top. The staff is a sign of authority whereas laurel wreath is crowning insignia of warriors and people of high rank. His white horse is a symbol of strength, purity, and a connection with intuition. The crowd in the background, probably foot soldiers with staves in the hands, signifies social recognition. The blue sky is a symbol of wisdom and the olive green cover over the horse shows harmony as well as diplomacy. Overall this is a happy and positive card that signifies progress, achievement, victory, success, and social recognition.</t>
  </si>
  <si>
    <t>In the wheel of the year, the six of wands corresponds to the second decan of Leo, in which Jupiter is in Leo. Leo is ruled by the sun and Jupiter is the planet of growth, expansion, healing, and prosperity. The golden dawn designer called Jupiter in Leo the ‘Lord of Victory’. Jupiter in Leo in attracts good fortune, charisma, and confidence. This combination brings success and happy relationships.</t>
  </si>
  <si>
    <t>A man is standing on the top of the hill with a staff in his hands that he is holding in a defensive way to protect himself from the six wands that are attacking him from below the hill. All the wands are at various heights and at various angles. The wands that are attacking him show the various challenges that he is facing. He is wearing an olive green shirt. Olive green is the color of harmony as well as diplomacy. He is wearing brown leggings that show his simplicity and steadfastness. He is wearing two different types of shoes. Now, these signify various things. These can represent not having a stable footing or confusion; these may also show multitasking and having a different viewpoint. Standing on the top of the hill shows that he holds a higher place than his challenges. He also keeps a better view of the situation. He is on high moral grounds. He is standing up for his beliefs and defending his territory. He has a staff in his hands so he is prepared for the war. He is not in an attacking position but he is on a better place to defend himself against any intruders. The blue sky represents clarity, daylight and the wisdom to understand his challenges.</t>
  </si>
  <si>
    <t>Astrologically the Seven of Wands belongs to the third decan of Leo in the wheel of the year. The third decan starts on 11th August and ends on 22nd August. This is when Mars, the planet of war, self-assertion, aggression, and energy enters Leo. The golden dawn designers called this card, Mars in Leo the Lord of Valor.</t>
  </si>
  <si>
    <t>Opal, Fire opal</t>
  </si>
  <si>
    <t>The imagery of this card is clean, clear, and simple. Eight wands are moving swiftly at an angle. All the wands are at various positions but they are following the same direction. The problems that arise at 7 of wands got clear at 8 of wands and now there is a release from obstacles and difficulties. The staves are moving rapidly and they indicate speed and swiftness. The clear background of the card shows that there is no blockage or obstruction. There is a vast landscape with a river flowing by. The greenery of the landscape indicates peace and growth and the river shows the flow of life and emotions. There is a hill in the background that represents our long term goals and aims and a house at the hilltop represents the self. This is overall a positive card that is evident from its imagery. Still, we cannot say for sure that if the wands will reach the mark upon reaching the ground or miss it.</t>
  </si>
  <si>
    <t>The eight of wands astrologically corresponds to the first decan of Sagittarius that is Mercury in Sagittarius and it falls between November 23rd and December 2nd. Mercury is the fastest moving planet and it is related to communication, mind, intellect, reason, language, reasoning, linear thinking, travel, and trade. However, Mercury is at its detriment in Sagittarius.  Sagittarius also brings qualities of optimism, love for freedom, intellect, and philosophy in an individual. Eight of wands was called ‘The Lord of Swiftness’ by the golden dawn designers.</t>
  </si>
  <si>
    <t>Quartz</t>
  </si>
  <si>
    <t>A weary, tired, and exhausted man is standing with a staff in his hand. His exhaustion shows that he has been through some tough tasks. He has a bandage on his head that indicates that he might have some wound underneath which is healing. This bandage also represents mental distress. He is holding a staff in a watchful and alert way, as he is ready to attack anyone who appears at once. He is on guard. His staff also represents the help that he has available with him. There is an uneven but green land in his background. The big and small hills show the challenges that he has been through and the goals that he has achieved. There is a neat boundary of eight wands in his background as well. The wands represent action, ambition, and desires and they are sprouting at the top that symbolizes growth. The barrier that is created with these wands might indicate that this barrier is to stop someone from emerging from the back or to stop some bad memory to emerge from the past? The brown color of the tunic of the man is a symbol of simplicity, steadfastness, and reliability and the olive green color of his pants and shoes depicts diplomacy and harmony. Overall the man looks resilient, courageous, and ready to face any challenge and trouble that might come his way. He is standing on a grey road that shows the neutrality. He is neutral for now and will decide his reaction when something or someone will appear.</t>
  </si>
  <si>
    <t>In astrology, the nine of Wands corresponds to the second decan of Sagittarius which falls between 3rd December and 12th December. In this decan, the moon enters Sagittarius. Moon is the planet (in astrology) of reflection, cycles, feminine qualities, emotions, and receptivity. Sagittarius is an optimistic, honest, intellectual and freedom-loving sign. When the moon enters the fiery sign of Sagittarius, they work together to make things work out. The golden dawn designers called this card the Lord of Great Strength.</t>
  </si>
  <si>
    <t>Rock Crystal</t>
  </si>
  <si>
    <t>A man is carrying a heavy load of a bundle of ten wands and he is bent over with this heavy load. He is unable to look above or even ahead due to this position as he is busy carrying this huge bundle. He is taking it to a town nearby; there are trees at a distance that show growth and transformation, a house which is a symbol of self and shelter and a plowed field. The field is the symbol of ‘as you sow, so shall you reap’ or karma. The person’s posture indicates that he is not in a comfortable position. His orange-brown shirt indicates his determination and the olive green color of his leggings is a color of harmony and diplomacy. The mustard color of the road on which he is walking symbolizes warmth and originality.</t>
  </si>
  <si>
    <t>In astrology, the Ten of Wands tarot card corresponds to the third decan of Sagittarius that falls between 13th December and 21rst December. In this decan, we have Saturn in Sagittarius in the wheel of the year. The golden dawn designers called it the Lord of Oppression. The readiness of Sagittarius to communicate is blocked by Saturn and it represses the impulses. Saturn is the planet of limitations, determination, introspection, discipline, and structure and Sagittarius is a freedom-loving sign.</t>
  </si>
  <si>
    <t>Star Ruby, Turquoise  </t>
  </si>
  <si>
    <t>Symbolically, a king represents a powerful male or a father figure. The King of Wands is seated on a throne that is a seat of power. His throne is placed on a grey pedestal. Grey is the color of impartiality. There is a salamander by the side of his throne and images of salamanders are made on his cape, and throne as well. The symbolic meaning of salamander is transformation and passion and legends say that a salamander can withstand flames.  The presence of salamanders in the picture depicts endurance and resilience. The king is wearing an orange robe. Orange is the color of desire, stimulation, and enthusiasm. The green color of his dress is a symbol of growth and fertility. The yellow color depicts his optimism and clarity of thoughts.  The king is holding a wand in his hand but he is just holding it lightly. The king doesn’t need any support to pursue his endeavors. He has a stable and secure seat of authority already. The king’s posture suggests that he might get up anytime and embark on a journey or travel. There are lions made on the back of his seat. The lion is a majestic animal and symbolizes strength and courage.</t>
  </si>
  <si>
    <t>Astrologically, the King of wands represents the fiery sign of Sagittarius. It rules the third decan of Scorpio and the first and second decan of Sagittarius. Sagittarius is a mutable sign and people from this sign are freedom-loving, jovial, honest, straightforward, philosophical, intellectual, optimistic, and restless. The King of wands shows all the energies of this fiery sign in a pictorial manner. He is daring, spontaneous, courageous, and passionate.</t>
  </si>
  <si>
    <t>The Queen of Wands is sitting on a throne that is a seat of power. Two lions are engraved in the arms of the throne and the other two are made at the back of the throne. That can be a tapestry that is hanging behind her. The lions are fiery and majestic animals and depict strength and courage. The queen is wearing a yellow robe that shows joy, optimism, and clarity and a white cape on her back is a symbol of purity and perfection. She is wearing a crown on her head that shows her power and authority and green leaves emerging from the crown symbolize growth and fertility.  She is holding a wand in one hand that shows her fiery energies and passion and a sunflower on the other hand. Sunflower is a symbol of loyalty and dedication. Her throne is set on a grey platform; the grey color symbolizes neutrality and impartiality. There are three mounds in her background that show her past achievements. A black cat sitting in her feet is a symbol of mystery, secrets, and rebirth. Overall her image reflects strength, generosity, and determination.</t>
  </si>
  <si>
    <t>The Queen of Wands rules the first and second decans of the fiery sign of Aries and third decan of Pisces. Aries rules the Emperor in the Major Arcana. People born under the sign of Aries are adventurous, energetic, courageous, confident, dynamic, and quick-witted, just like the Queen of Wands. Pisces brings the qualities of kindness, compassion, and sensitivity in a person. The Queen of Wands is a perfect combination of the qualities of both signs.</t>
  </si>
  <si>
    <t>An armored warrior is riding a brown horse and there are a barren land and mountains in the background. He is holding a staff (wand) in one of his hands and reigns of the horse in the other. The wand depicts his passion and the green leaves at the top of the wand symbolize hope and growth. The armor that he is wearing shows that he is protected. There are red feathers on his helmet that look like burning flames. These feathers or flames show his passion, desires, and burning fiery energies. The brown horse symbolizes stamina, strength, and vitality along with stability and reliability. He has full control of the situation and this is suggested by the reigns in his hands. He is wearing a yellow shirt with a symbol of salamanders on it. Yellow is the color of joy and salamanders show endurance and they also symbolize transformation, passion and they can take over adversity. Legends say that Salamanders even withstand flames and can also extinguish them. There is a barren land and three mounds in the background just like we have seen on the page of the wands card. The barren land signifies that nurturing can change the barrenness and mounds denote the obstacles and goals. Three is the number of creativity.</t>
  </si>
  <si>
    <t>The Knight of Wands rules the first and second decans of Leo, the fixed fire sign, and the third decan of cancer. The knight of wands under the influence of the sign of Leo holds the qualities of generosity, warm-heartedness, creativity, enthusiasm, ambition, dynamism, confidence, and loyalty. He has true fiery energies.</t>
  </si>
  <si>
    <t>A young page is standing in an arid land with a wand in his hand. The wand is a depiction of passion and ambition. The wand has leaves growing at the top and the young page is looking upward at those. His angle shows his optimism. He is wearing a hand that shows his power, authority, and being ranked above the average people. A red feather in his hat symbolizes strength, power, and passion. The blue sky in the background symbolizes wisdom and confidence. There are 3 mounds in the background that are representative of goals and obstacles and number three represents creativity. The arid land shows that the ideas are not yet manifested and nurturing is needed. The page is wearing a cape that shows his confidence and a yellow shirt that depicts happiness, joy, and youthful energies. His age also symbolizes youth, vigor, passion, and vitality. His red pants show his enthusiasm. There are salamanders made on his shirt. Salamanders have endurance and they symbolize transformation, passion and they can take over adversity. Legends say that Salamanders even withstand flames and can also extinguish them.</t>
  </si>
  <si>
    <t>In Astrology, the page of wands gathers the qualities and characteristics of the Fire signs of Aries, Leo, and Sagittarius. Fire depicts courage, confidence, and initiative. Fire brings spontaneity, intuition, inspiration, and passion in a person or a situation. A single spark of fire can burn a whole forest so fiery signs and fiery qualities inside a person should be nurtured and managed carefully.  </t>
  </si>
  <si>
    <t>In this card a white hand is emerging from a cloud and a chalice or cup is laid on its palm. Five streams of water are emerging from it and falling into a water body below that is full of water lilies. This card has a neutral grey background. The white hand represents divine power. A cloud is a sign of transformation and fertility. The Chalice is a significant symol in many religions. Christians consider it a commemoration of the Last Supper. Muslim Sufis think that a chalice symbolizes sharing of blessings. To wiccans a chalice is a symbol of the womb, goddess, fertility and feminine power. A chalice is considered to be associated with intuition and psychic powers as well. A dove is adding a piece of a communion wafer in the chalice. A dove is a symbol of peace, a spirit messenger and sign of Venus. The five streams of water that are coming out of the chalice show nurturing and also symbolize 5 senses. The water body beneath the chalice is a depiction of growth, fertility and creativity. The water is a symbol of emotions and intuition. The water-lilies show innocence, purity, fertility, happiness, rebirth and hope. There are 26 water droplets visible on the card as well. 26 is the gematric number for name of god in Hebrew. There is a W or reversed M written at the bottom of the Chalice. This is over all a positive card of happiness, love, positive emotions, growth, fertility and creativity.</t>
  </si>
  <si>
    <t>In Astrology, the Ace of cups represents all three water signs. These signs are Cancer, Scorpio and Pisces. The water signs are linked to emotions, sensitivity, creativity, empathy, imagination, compassion, intuition and psychic skills. Like the tidal waves of water, the water signs also are prone to having mood swings. The water signs have high awareness of the emotions of others and they are more impulsive and follow their feelings than logic.</t>
  </si>
  <si>
    <t>Star Ruby, Turquoise</t>
  </si>
  <si>
    <t>A man and a woman are standing under the blue sky with cups in their hands. They are looking into the eyes of each other and a caduceus with a lion’s head has shelter of its wings over their heads. In the background there are green mountains and a small house over the hill. Man and women represent opposing forces, yang and yin. Chalice symbolizes emotions and intuition. The green mountains and the house in the background symbolize their long term goals of growth and protection. The crown on man’s head is made of flowers that depict his tender love and care. The green leaf crown on women’s head represents honor and growth. The white in her dress shows innocence and purity whereas blue shows trust and loyalty. Her red shoe and slightly forwarded foot indicates her passion and interest. Caduceus is a magic wand that was carried by Hermes. Its presence between the two signifies the association between two opposing forces. The lion’s head with wings show that the relationship has both physical and spiritual forces in work. Overall this is a positive joy of love. Both the partners are standing on equal footing, on the same grounds and they have mutual interest in each other.</t>
  </si>
  <si>
    <t>Astrologically the Two of Cups tarot card rules the first decan of Cancer that ranges from 21st June till 1st July. This is when the planet Venus, that is the planet of love, luxury, art, harmony, beauty, pleasure, romance and feminine energies is in emotional and nurturing sign of cancer. Their bond creates the most favorable circumstances for love and relationships to grow and nurture.</t>
  </si>
  <si>
    <t>Three girls in colorful attires are dancing cheerfully holding cups in their hands. They are standing in a garden filled with fruits and flowers and also wearing floral bands on their heads. Garden symbolizes freshness, harmony, and peace. It shows growth, fertility and love. The harvest shows the fruit of hard work. There is a clear blue sky in the background that depicts wisdom and clarity of ideas. The red color of dress shows passion and love, white symbolizes purity, innocence and peace and orange displays enthusiasm and happiness. The flowers on the heads of the women are sign of love and happiness. The goblets in their hands that they are raising as toast show their happy emotions. They are dancing in joy and having a good time.</t>
  </si>
  <si>
    <t>The three of Cups tarot card rules the second decan of cancer that begins on 2nd July and ends on 11th July. This is the planet of communication, linear thinking, travel, trade, rationality and reasoning called Mercury is in emotional, intuitive, imaginative, and compassionate sign of cancer. The prudence of Mercury and creativity of Cancer combined create a joyful and harmonious atmosphere and also abundance and plenty.</t>
  </si>
  <si>
    <t>Card Title &amp; Description</t>
  </si>
  <si>
    <t>Symbolic &amp; Divinatory Meaning</t>
  </si>
  <si>
    <t>Symbolic &amp; Divinitary Meaning</t>
  </si>
  <si>
    <t>Astrological Summary</t>
  </si>
  <si>
    <t>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t>
  </si>
  <si>
    <t>Pre-destined card of Fate.  Indicate Element and Personality traits. Symbolic-Court cards (16 male, 16 female - Stages of maturity (depending on suit and level of maturity) Court cards represent a combination of Element and Personal</t>
  </si>
  <si>
    <t>3rd - Recent Past</t>
  </si>
  <si>
    <t>5th - Near Future</t>
  </si>
  <si>
    <t>Additional Advice</t>
  </si>
  <si>
    <t>Additional Clarification</t>
  </si>
  <si>
    <t>https://www.tarotcardmeanings.net/images/tarotcards120px/tarot-cups-01.jpg</t>
  </si>
  <si>
    <t>https://www.tarotcardmeanings.net/images/tarotcards120px/tarot-swords-01.jpg</t>
  </si>
  <si>
    <t>https://www.tarotcardmeanings.net/images/tarotcards120px/tarot-pentacles-01.jpg</t>
  </si>
  <si>
    <t>♈</t>
  </si>
  <si>
    <t>♍</t>
  </si>
  <si>
    <t>♓</t>
  </si>
  <si>
    <t>♎</t>
  </si>
  <si>
    <t>♉</t>
  </si>
  <si>
    <t>♓ ♋ ♏</t>
  </si>
  <si>
    <t>♊ ♎ ♒</t>
  </si>
  <si>
    <t>♍ ♑ ♉</t>
  </si>
  <si>
    <t>♉ ♏ ♌ ♒</t>
  </si>
  <si>
    <t>♒</t>
  </si>
  <si>
    <t>♌</t>
  </si>
  <si>
    <t>Leo</t>
  </si>
  <si>
    <t>2nd - Topic/Situation</t>
  </si>
  <si>
    <t>Kachina Knife Layout Placement</t>
  </si>
  <si>
    <t>What does my future look like?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</si>
</sst>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family val="2"/>
      <scheme val="minor"/>
    </font>
    <font>
      <sz val="8"/>
      <color theme="1"/>
      <name val="Calibri"/>
      <family val="2"/>
      <scheme val="minor"/>
    </font>
    <font>
      <b/>
      <sz val="8"/>
      <color theme="1"/>
      <name val="Calibri"/>
      <family val="2"/>
      <scheme val="minor"/>
    </font>
    <font>
      <sz val="8"/>
      <color rgb="FF7030A0"/>
      <name val="Calibri"/>
      <family val="2"/>
      <scheme val="minor"/>
    </font>
    <font>
      <i/>
      <sz val="8"/>
      <color rgb="FF7030A0"/>
      <name val="Calibri"/>
      <family val="2"/>
      <scheme val="minor"/>
    </font>
    <font>
      <i/>
      <sz val="8"/>
      <color rgb="FF7030A0"/>
      <name val="Arial"/>
      <family val="2"/>
    </font>
    <font>
      <b/>
      <sz val="10"/>
      <color rgb="FF7030A0"/>
      <name val="Calibri"/>
      <family val="2"/>
      <scheme val="minor"/>
    </font>
    <font>
      <sz val="8"/>
      <name val="Calibri"/>
      <family val="2"/>
      <scheme val="minor"/>
    </font>
    <font>
      <b/>
      <sz val="8"/>
      <name val="Calibri"/>
      <family val="2"/>
      <scheme val="minor"/>
    </font>
    <font>
      <sz val="11"/>
      <color rgb="FFFF0000"/>
      <name val="Calibri"/>
      <family val="2"/>
      <scheme val="minor"/>
    </font>
    <font>
      <i/>
      <sz val="10"/>
      <color theme="1"/>
      <name val="Calibri"/>
      <family val="2"/>
      <scheme val="minor"/>
    </font>
    <font>
      <b/>
      <sz val="8"/>
      <color theme="0"/>
      <name val="Calibri"/>
      <family val="2"/>
      <scheme val="minor"/>
    </font>
    <font>
      <sz val="8"/>
      <color theme="0"/>
      <name val="Calibri"/>
      <family val="2"/>
      <scheme val="minor"/>
    </font>
    <font>
      <b/>
      <sz val="9"/>
      <color rgb="FF7030A0"/>
      <name val="MV Boli"/>
    </font>
    <font>
      <sz val="9"/>
      <color theme="1"/>
      <name val="MV Boli"/>
    </font>
    <font>
      <u/>
      <sz val="11"/>
      <color theme="10"/>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2"/>
        <bgColor indexed="64"/>
      </patternFill>
    </fill>
    <fill>
      <patternFill patternType="solid">
        <fgColor rgb="FFB686DA"/>
        <bgColor indexed="64"/>
      </patternFill>
    </fill>
    <fill>
      <patternFill patternType="solid">
        <fgColor theme="8"/>
        <bgColor indexed="64"/>
      </patternFill>
    </fill>
    <fill>
      <patternFill patternType="solid">
        <fgColor theme="8" tint="0.79998168889431442"/>
        <bgColor indexed="64"/>
      </patternFill>
    </fill>
    <fill>
      <patternFill patternType="solid">
        <fgColor theme="8" tint="0.39997558519241921"/>
        <bgColor indexed="64"/>
      </patternFill>
    </fill>
  </fills>
  <borders count="21">
    <border>
      <left/>
      <right/>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s>
  <cellStyleXfs count="2">
    <xf numFmtId="0" fontId="0" fillId="0" borderId="0"/>
    <xf numFmtId="0" fontId="15" fillId="0" borderId="0" applyNumberFormat="0" applyFill="0" applyBorder="0" applyAlignment="0" applyProtection="0"/>
  </cellStyleXfs>
  <cellXfs count="49">
    <xf numFmtId="0" fontId="0" fillId="0" borderId="0" xfId="0"/>
    <xf numFmtId="0" fontId="0" fillId="0" borderId="0" xfId="0" applyAlignment="1">
      <alignment vertical="center"/>
    </xf>
    <xf numFmtId="0" fontId="1" fillId="0" borderId="0" xfId="0" applyFont="1" applyAlignment="1">
      <alignment vertical="center" wrapText="1"/>
    </xf>
    <xf numFmtId="0" fontId="1" fillId="0" borderId="0" xfId="0" applyFont="1" applyAlignment="1">
      <alignment vertical="center"/>
    </xf>
    <xf numFmtId="0" fontId="4" fillId="0" borderId="0" xfId="0" applyFont="1" applyAlignment="1">
      <alignment wrapText="1"/>
    </xf>
    <xf numFmtId="0" fontId="5" fillId="0" borderId="0" xfId="0" applyFont="1" applyAlignment="1">
      <alignment vertical="center" wrapText="1"/>
    </xf>
    <xf numFmtId="0" fontId="7" fillId="4" borderId="2" xfId="0" applyFont="1" applyFill="1" applyBorder="1" applyAlignment="1">
      <alignment horizontal="center" vertical="center" wrapText="1"/>
    </xf>
    <xf numFmtId="0" fontId="7" fillId="4" borderId="3" xfId="0" applyFont="1" applyFill="1" applyBorder="1" applyAlignment="1">
      <alignment horizontal="center" vertical="center" wrapText="1"/>
    </xf>
    <xf numFmtId="0" fontId="1" fillId="0" borderId="0" xfId="0" applyFont="1" applyAlignment="1">
      <alignment horizontal="center" vertical="center" wrapText="1"/>
    </xf>
    <xf numFmtId="0" fontId="3" fillId="0" borderId="0" xfId="0" applyFont="1" applyAlignment="1">
      <alignment vertical="center" wrapText="1"/>
    </xf>
    <xf numFmtId="0" fontId="2" fillId="0" borderId="0" xfId="0" applyFont="1" applyAlignment="1">
      <alignment horizontal="center" vertical="center" wrapText="1"/>
    </xf>
    <xf numFmtId="0" fontId="0" fillId="0" borderId="0" xfId="0" applyAlignment="1">
      <alignment horizontal="center" wrapText="1"/>
    </xf>
    <xf numFmtId="0" fontId="0" fillId="2" borderId="0" xfId="0" applyFill="1" applyAlignment="1">
      <alignment vertical="center"/>
    </xf>
    <xf numFmtId="0" fontId="6" fillId="3" borderId="4"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9" fillId="4" borderId="5" xfId="0" applyFont="1" applyFill="1" applyBorder="1" applyAlignment="1">
      <alignment vertical="center" wrapText="1"/>
    </xf>
    <xf numFmtId="0" fontId="5" fillId="6" borderId="6" xfId="0" applyFont="1" applyFill="1" applyBorder="1" applyAlignment="1">
      <alignment vertical="center" wrapText="1"/>
    </xf>
    <xf numFmtId="0" fontId="5" fillId="6" borderId="10" xfId="0" applyFont="1" applyFill="1" applyBorder="1" applyAlignment="1">
      <alignment vertical="center" wrapText="1"/>
    </xf>
    <xf numFmtId="0" fontId="7" fillId="0" borderId="0" xfId="0" applyFont="1" applyAlignment="1">
      <alignment vertical="center" wrapText="1"/>
    </xf>
    <xf numFmtId="0" fontId="11" fillId="7" borderId="3" xfId="0" applyFont="1" applyFill="1" applyBorder="1" applyAlignment="1">
      <alignment horizontal="center" vertical="center" wrapText="1"/>
    </xf>
    <xf numFmtId="0" fontId="1" fillId="2" borderId="0" xfId="0" applyFont="1" applyFill="1" applyAlignment="1">
      <alignment vertical="center" wrapText="1"/>
    </xf>
    <xf numFmtId="0" fontId="1" fillId="2" borderId="0" xfId="0" applyFont="1" applyFill="1" applyAlignment="1">
      <alignment horizontal="center" vertical="center" wrapText="1"/>
    </xf>
    <xf numFmtId="0" fontId="1" fillId="5" borderId="0" xfId="0" applyFont="1" applyFill="1" applyAlignment="1">
      <alignment horizontal="center" vertical="center" wrapText="1"/>
    </xf>
    <xf numFmtId="0" fontId="7" fillId="8" borderId="11"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7" fillId="8" borderId="3" xfId="0" applyFont="1" applyFill="1" applyBorder="1" applyAlignment="1">
      <alignment horizontal="center" vertical="center" wrapText="1"/>
    </xf>
    <xf numFmtId="0" fontId="12" fillId="7" borderId="3" xfId="0" applyFont="1" applyFill="1" applyBorder="1" applyAlignment="1">
      <alignment horizontal="center" vertical="center" wrapText="1"/>
    </xf>
    <xf numFmtId="0" fontId="7" fillId="2" borderId="0" xfId="0" applyFont="1" applyFill="1" applyAlignment="1">
      <alignment vertical="center" wrapText="1"/>
    </xf>
    <xf numFmtId="0" fontId="2" fillId="2" borderId="0" xfId="0" applyFont="1" applyFill="1" applyAlignment="1">
      <alignment horizontal="center" vertical="center" wrapText="1"/>
    </xf>
    <xf numFmtId="0" fontId="1" fillId="5" borderId="0" xfId="0" applyFont="1" applyFill="1" applyAlignment="1">
      <alignment vertical="center" wrapText="1"/>
    </xf>
    <xf numFmtId="0" fontId="7" fillId="8" borderId="1" xfId="0" applyFont="1" applyFill="1" applyBorder="1" applyAlignment="1">
      <alignment horizontal="center" vertical="center" wrapText="1"/>
    </xf>
    <xf numFmtId="0" fontId="7" fillId="0" borderId="1" xfId="0" applyFont="1" applyBorder="1" applyAlignment="1">
      <alignment horizontal="center" vertical="center"/>
    </xf>
    <xf numFmtId="0" fontId="0" fillId="9" borderId="7" xfId="0" applyFill="1" applyBorder="1" applyAlignment="1">
      <alignment horizontal="center" vertical="center" wrapText="1"/>
    </xf>
    <xf numFmtId="0" fontId="0" fillId="9" borderId="8" xfId="0" applyFill="1" applyBorder="1" applyAlignment="1">
      <alignment horizontal="center" vertical="center" wrapText="1"/>
    </xf>
    <xf numFmtId="0" fontId="0" fillId="9" borderId="9" xfId="0" applyFill="1" applyBorder="1" applyAlignment="1">
      <alignment horizontal="center" vertical="center" wrapText="1"/>
    </xf>
    <xf numFmtId="0" fontId="7" fillId="10" borderId="11"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14" fillId="0" borderId="0" xfId="0" applyFont="1" applyAlignment="1">
      <alignment horizontal="left" vertical="center" wrapText="1"/>
    </xf>
    <xf numFmtId="0" fontId="6" fillId="3" borderId="13" xfId="0" applyFont="1" applyFill="1" applyBorder="1" applyAlignment="1">
      <alignment horizontal="center" vertical="center" wrapText="1"/>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13" fillId="10" borderId="12" xfId="0" applyFont="1" applyFill="1" applyBorder="1" applyAlignment="1">
      <alignment horizontal="center" vertical="center" wrapText="1"/>
    </xf>
    <xf numFmtId="0" fontId="14" fillId="5" borderId="17" xfId="0" applyFont="1" applyFill="1" applyBorder="1" applyAlignment="1">
      <alignment horizontal="distributed" vertical="center" wrapText="1" indent="2"/>
    </xf>
    <xf numFmtId="0" fontId="6" fillId="2" borderId="13" xfId="0" applyFont="1" applyFill="1" applyBorder="1" applyAlignment="1">
      <alignment horizontal="center" vertical="center" wrapText="1"/>
    </xf>
    <xf numFmtId="0" fontId="0" fillId="9" borderId="18" xfId="0" applyFill="1" applyBorder="1" applyAlignment="1">
      <alignment horizontal="center" vertical="center" wrapText="1"/>
    </xf>
    <xf numFmtId="0" fontId="0" fillId="9" borderId="19" xfId="0" applyFill="1" applyBorder="1" applyAlignment="1">
      <alignment horizontal="center" vertical="center" wrapText="1"/>
    </xf>
    <xf numFmtId="0" fontId="0" fillId="9" borderId="20" xfId="0" applyFill="1" applyBorder="1" applyAlignment="1">
      <alignment horizontal="center" vertical="center" wrapText="1"/>
    </xf>
    <xf numFmtId="0" fontId="15" fillId="2" borderId="0" xfId="1" applyFill="1" applyAlignment="1">
      <alignment vertical="center" wrapText="1"/>
    </xf>
  </cellXfs>
  <cellStyles count="2">
    <cellStyle name="Hyperlink" xfId="1" builtinId="8"/>
    <cellStyle name="Normal" xfId="0" builtinId="0"/>
  </cellStyles>
  <dxfs count="32">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fill>
        <patternFill patternType="solid">
          <fgColor indexed="64"/>
          <bgColor theme="0" tint="-4.9989318521683403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rgb="FF7030A0"/>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auto="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dxf>
    <dxf>
      <font>
        <b/>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general"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alignment horizontal="general" vertical="center" textRotation="0" wrapText="1" indent="0" justifyLastLine="0" shrinkToFit="0" readingOrder="0"/>
    </dxf>
    <dxf>
      <border outline="0">
        <top style="medium">
          <color indexed="64"/>
        </top>
      </border>
    </dxf>
    <dxf>
      <font>
        <b val="0"/>
        <i val="0"/>
        <strike val="0"/>
        <condense val="0"/>
        <extend val="0"/>
        <outline val="0"/>
        <shadow val="0"/>
        <u val="none"/>
        <vertAlign val="baseline"/>
        <sz val="8"/>
        <color theme="1"/>
        <name val="Calibri"/>
        <family val="2"/>
        <scheme val="minor"/>
      </font>
      <alignment horizontal="general" vertical="center" textRotation="0" wrapText="1" indent="0" justifyLastLine="0" shrinkToFit="0" readingOrder="0"/>
    </dxf>
    <dxf>
      <border outline="0">
        <bottom style="medium">
          <color indexed="64"/>
        </bottom>
      </border>
    </dxf>
    <dxf>
      <font>
        <b val="0"/>
        <i val="0"/>
        <strike val="0"/>
        <condense val="0"/>
        <extend val="0"/>
        <outline val="0"/>
        <shadow val="0"/>
        <u val="none"/>
        <vertAlign val="baseline"/>
        <sz val="8"/>
        <color auto="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Invisible" pivot="0" table="0" count="0" xr9:uid="{C37FFD95-CEA2-4A11-90B0-D877EDF81199}"/>
  </tableStyles>
  <colors>
    <mruColors>
      <color rgb="FFB686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1680</xdr:colOff>
      <xdr:row>1</xdr:row>
      <xdr:rowOff>425823</xdr:rowOff>
    </xdr:from>
    <xdr:to>
      <xdr:col>3</xdr:col>
      <xdr:colOff>961182</xdr:colOff>
      <xdr:row>1</xdr:row>
      <xdr:rowOff>1797423</xdr:rowOff>
    </xdr:to>
    <xdr:pic>
      <xdr:nvPicPr>
        <xdr:cNvPr id="2" name="Picture 1">
          <a:extLst>
            <a:ext uri="{FF2B5EF4-FFF2-40B4-BE49-F238E27FC236}">
              <a16:creationId xmlns:a16="http://schemas.microsoft.com/office/drawing/2014/main" id="{D4523125-6787-1F84-DC93-3888BD09C20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67709" y="2129117"/>
          <a:ext cx="959502"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CFAADA-FB7C-4FEF-A39A-12FCD9CE6EAF}" name="Table1" displayName="Table1" ref="A1:AB79" totalsRowShown="0" headerRowDxfId="31" dataDxfId="29" headerRowBorderDxfId="30" tableBorderDxfId="28">
  <autoFilter ref="A1:AB79" xr:uid="{5352A741-920A-4706-B921-447FAE1D6109}"/>
  <tableColumns count="28">
    <tableColumn id="1" xr3:uid="{C8E949AD-CCC9-43BB-9DD1-6DA0150A6B5B}" name="Card Group" dataDxfId="27"/>
    <tableColumn id="2" xr3:uid="{1EA20742-CEB8-46E2-82EA-0B3AD5A57B89}" name="Group Representation" dataDxfId="26"/>
    <tableColumn id="10" xr3:uid="{B08FA352-4620-49DA-9150-140E98F516CE}" name="Image Path" dataDxfId="25"/>
    <tableColumn id="9" xr3:uid="{F96E6A97-473B-42C6-A763-7A55AA82AD7C}" name="Card Image (Rider Waite)" dataDxfId="24"/>
    <tableColumn id="14" xr3:uid="{0291F1BF-C74E-4867-B11D-D6A3B1CC6728}" name="Card Name" dataDxfId="23"/>
    <tableColumn id="11" xr3:uid="{F446F7F7-1982-4FE0-9C3D-22C5E0C506FB}" name="Suit" dataDxfId="22"/>
    <tableColumn id="12" xr3:uid="{7E490BAC-5B80-4944-AA37-492B179E48C0}" name="Card Title &amp; Meaning" dataDxfId="21">
      <calculatedColumnFormula>_xlfn.CONCAT(Table1[[#This Row],[Numerical value]]," is the value of the ",Table1[[#This Row],[Card Name]],". The ",Table1[[#This Row],[Card Name]]," is a ",Table1[[#This Row],[Group Representation]],".  The ", Table1[[#This Row],[Card Name]]," is the card of ",Table1[[#This Row],[Indicitive of]],".  ",Table1[[#This Row],[Radiant Wise Description]])</calculatedColumnFormula>
    </tableColumn>
    <tableColumn id="15" xr3:uid="{10B671D0-B65B-4FB2-BBF3-6F3ABE831D9C}" name="Radiant Wise Description" dataDxfId="20"/>
    <tableColumn id="7" xr3:uid="{D58A8A0D-AE4E-47B6-8DD2-3C165290CBC2}" name="Divinatory Meaning" dataDxfId="19"/>
    <tableColumn id="3" xr3:uid="{90F18D80-BCCD-4487-8E8F-65026038F867}" name="Card Title &amp; Description" dataDxfId="18"/>
    <tableColumn id="6" xr3:uid="{54B12024-AA40-4E6E-AC4B-455183B83BCD}" name="Indicitive of" dataDxfId="17"/>
    <tableColumn id="8" xr3:uid="{0FFD2298-0D9F-40E1-83CE-62ADBEF0D2B3}" name="Symbolic - Representitive Meaning" dataDxfId="16"/>
    <tableColumn id="28" xr3:uid="{A080C72E-C721-4731-92F8-B523F6C4CF9F}" name="Symbolic &amp; Divinatory Meaning" dataDxfId="15">
      <calculatedColumnFormula>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calculatedColumnFormula>
    </tableColumn>
    <tableColumn id="4" xr3:uid="{D551937E-9550-4E2F-BD3E-A181294C39A6}" name="Numerical value" dataDxfId="14"/>
    <tableColumn id="5" xr3:uid="{860C75A0-3D79-4C37-9EFB-A82114925E9D}" name="Numerological Interpretation - E,L,M" dataDxfId="13"/>
    <tableColumn id="18" xr3:uid="{2059B261-58CF-4A52-B7C3-212A5DCD0454}" name="Element" dataDxfId="12"/>
    <tableColumn id="17" xr3:uid="{C8545643-2C8B-4609-8195-69854707B1DE}" name="Zodiac Sign" dataDxfId="11"/>
    <tableColumn id="16" xr3:uid="{11FA54BC-2E25-416B-9A4A-001F42D209A6}" name="Zodiac Symbol(s)" dataDxfId="10"/>
    <tableColumn id="19" xr3:uid="{AE9BFA9B-3115-469B-B55C-F24BF3167A44}" name="Astrological Influence" dataDxfId="9"/>
    <tableColumn id="20" xr3:uid="{C0B194DB-AC49-4766-93D3-D788A753A1E1}" name="Elemental Gender" dataDxfId="8"/>
    <tableColumn id="21" xr3:uid="{41048CAF-40F3-4D61-B71B-6956CEADB1C4}" name="Direction" dataDxfId="7"/>
    <tableColumn id="22" xr3:uid="{3DCECD82-21BD-4175-B638-319A1FC64551}" name="Color" dataDxfId="6"/>
    <tableColumn id="13" xr3:uid="{23FE3DDF-AB09-451B-9E7B-C4053A474BA4}" name="Element &amp; Zodiacal Reference - E,O,P,Q,R,S,T,V,W,X" dataDxfId="5">
      <calculatedColumnFormula>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calculatedColumnFormula>
    </tableColumn>
    <tableColumn id="23" xr3:uid="{06E3F4A5-E285-4445-A58C-8949D735134B}" name="Key Interpretations (Yes/No)" dataDxfId="4"/>
    <tableColumn id="24" xr3:uid="{9ECE50C6-0642-484B-9D2C-16201EDA76AD}" name="Animal Reference" dataDxfId="3"/>
    <tableColumn id="25" xr3:uid="{D4BA71AD-7342-435E-9DE6-EF5DEDA0BB74}" name="Stone Reference" dataDxfId="2"/>
    <tableColumn id="26" xr3:uid="{13FE39C3-E50E-4B63-963B-223CE3763808}" name="Imagry Interpretaion" dataDxfId="1"/>
    <tableColumn id="27" xr3:uid="{62490E91-8F1A-4367-A29B-89BCE6C9BE7B}" name="Astrolog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www.tarotcardmeanings.net/images/tarotcards-large/tarot-fool.jpg" TargetMode="Externa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D6654-8BB1-4AFE-955E-055CC5553784}">
  <sheetPr codeName="Sheet1">
    <tabColor rgb="FF0070C0"/>
  </sheetPr>
  <dimension ref="A1:H10"/>
  <sheetViews>
    <sheetView zoomScaleNormal="100" workbookViewId="0">
      <selection activeCell="B2" sqref="B2"/>
    </sheetView>
  </sheetViews>
  <sheetFormatPr defaultRowHeight="15" x14ac:dyDescent="0.25"/>
  <cols>
    <col min="1" max="1" width="31.85546875" customWidth="1"/>
    <col min="2" max="3" width="21.7109375" style="11" customWidth="1"/>
    <col min="4" max="4" width="20.85546875" style="11" customWidth="1"/>
    <col min="5" max="5" width="122.5703125" style="37" customWidth="1"/>
    <col min="6" max="6" width="68.85546875" customWidth="1"/>
    <col min="7" max="7" width="48.5703125" style="4" customWidth="1"/>
    <col min="8" max="8" width="33.28515625" customWidth="1"/>
  </cols>
  <sheetData>
    <row r="1" spans="1:8" ht="44.25" customHeight="1" thickBot="1" x14ac:dyDescent="0.3">
      <c r="A1" s="13" t="s">
        <v>368</v>
      </c>
      <c r="B1" s="14" t="s">
        <v>367</v>
      </c>
      <c r="C1" s="44"/>
      <c r="D1" s="38" t="s">
        <v>829</v>
      </c>
      <c r="E1" s="42" t="str">
        <f>_xlfn.CONCAT(A2," : (Reading summary below.)")</f>
        <v>What does my future look like? : (Reading summary below.)</v>
      </c>
      <c r="F1" s="14" t="s">
        <v>545</v>
      </c>
      <c r="G1" s="14" t="s">
        <v>805</v>
      </c>
      <c r="H1" s="14" t="s">
        <v>806</v>
      </c>
    </row>
    <row r="2" spans="1:8" s="1" customFormat="1" ht="180.75" thickBot="1" x14ac:dyDescent="0.3">
      <c r="A2" s="15" t="s">
        <v>830</v>
      </c>
      <c r="B2" s="32" t="s">
        <v>181</v>
      </c>
      <c r="C2" s="45"/>
      <c r="D2" s="39" t="s">
        <v>366</v>
      </c>
      <c r="E2" s="43" t="str">
        <f t="shared" ref="E2:E10" si="0">_xlfn.CONCAT("The ",B2," card:  ", F2," Astrologically speaking, ",H2," The Symbolic and Divinitary meaning ",B2,"; ",G2)</f>
        <v>The 4 of Cups card:  4 is the value of the 4 of Cups. The 4 of Cups is a All Minor cards are indicitive of choice and indicate an element..  The 4 of Cups is the card of Rejection-Luxury, excess.  And opportunity is right before you yet you do not see. Distraction, disappointment and boredom. Buddha Under the bodhi tree. Closed too emotional energy. It is impossible to see all of life’s opportunities coming at you. Life offers sensory overload. Yet, it is good practice to remind one’s self to stay open for unexpected and outside the box opportunities. Use this cards appearance as an opportunity to broaden your vision. Pleasure and possibility is yours to be had. Will you claim it? Astrologically speaking, The 4 of Cups is represented by the Zodiac sign Pices, Cancer, Scorpio and symbol ♓ ♋ ♏.The element of Water. It has a Masculine quality and is associated with the color Black and the direction of West. This sign is represented by the  and the stone(s) of . The Astrological influence is Moon in Cancer . The Symbolic and Divinitary meaning 4 of Cups; And opportunity is right before you yet you do not see. Distraction, disappointment and boredom. Buddha Under the bodhi tree. Closed too emotional energy. It is impossible to see all of life’s opportunities coming at you. Life offers sensory overload. Yet, it is good practice to remind one’s self to stay open for unexpected and outside the box opportunities. Use this cards appearance as an opportunity to broaden your vision. Pleasure and possibility is yours to be had. Will you claim it?</v>
      </c>
      <c r="F2" s="16" t="str">
        <f>INDEX(Table1[Card Title &amp; Meaning],MATCH(B2,Table1[Card Name],0))</f>
        <v>4 is the value of the 4 of Cups. The 4 of Cups is a All Minor cards are indicitive of choice and indicate an element..  The 4 of Cups is the card of Rejection-Luxury, excess.  And opportunity is right before you yet you do not see. Distraction, disappointment and boredom. Buddha Under the bodhi tree. Closed too emotional energy. It is impossible to see all of life’s opportunities coming at you. Life offers sensory overload. Yet, it is good practice to remind one’s self to stay open for unexpected and outside the box opportunities. Use this cards appearance as an opportunity to broaden your vision. Pleasure and possibility is yours to be had. Will you claim it?</v>
      </c>
      <c r="G2" s="17" t="str">
        <f>INDEX(Table1[Radiant Wise Description],MATCH('Katchina Knife Layout'!B2,Table1[Card Name],0))</f>
        <v>And opportunity is right before you yet you do not see. Distraction, disappointment and boredom. Buddha Under the bodhi tree. Closed too emotional energy. It is impossible to see all of life’s opportunities coming at you. Life offers sensory overload. Yet, it is good practice to remind one’s self to stay open for unexpected and outside the box opportunities. Use this cards appearance as an opportunity to broaden your vision. Pleasure and possibility is yours to be had. Will you claim it?</v>
      </c>
      <c r="H2" s="17" t="str">
        <f>INDEX(Table1[Element &amp; Zodiacal Reference - E,O,P,Q,R,S,T,V,W,X],MATCH(B2,Table1[Card Name],0))</f>
        <v>The 4 of Cups is represented by the Zodiac sign Pices, Cancer, Scorpio and symbol ♓ ♋ ♏.The element of Water. It has a Masculine quality and is associated with the color Black and the direction of West. This sign is represented by the  and the stone(s) of . The Astrological influence is Moon in Cancer .</v>
      </c>
    </row>
    <row r="3" spans="1:8" s="1" customFormat="1" ht="165.75" thickBot="1" x14ac:dyDescent="0.3">
      <c r="A3" s="12"/>
      <c r="B3" s="33" t="s">
        <v>167</v>
      </c>
      <c r="C3" s="46"/>
      <c r="D3" s="40" t="s">
        <v>828</v>
      </c>
      <c r="E3" s="43" t="str">
        <f t="shared" si="0"/>
        <v>The 4 of Pentacles card:  4 is the value of the 4 of Pentacles. The 4 of Pentacles is a All Minor cards are indicitive of choice and indicate an element..  The 4 of Pentacles is the card of Greed-Power foundation.  I figure sits with a pentacle balancing on his head or crown chakra, and his heart chakra, and beneath his feet. He clings dearly to the material world. The city behind him represents commerce and his accrued income. He is holding on tight to savings. Security of animal, vegetable, and mineral. Stability in the material world. It is an early success but also the fear of losing what one has gained. Astrologically speaking, The 4 of Pentacles is represented by the Zodiac sign Virgo, Capricorn, Taurus and symbol ♍ ♑ ♉.The element of Earth. It has a Masculine quality and is associated with the color White and the direction of North. This sign is represented by the  and the stone(s) of . The Astrological influence is Sun in Capricorn . The Symbolic and Divinitary meaning 4 of Pentacles; I figure sits with a pentacle balancing on his head or crown chakra, and his heart chakra, and beneath his feet. He clings dearly to the material world. The city behind him represents commerce and his accrued income. He is holding on tight to savings. Security of animal, vegetable, and mineral. Stability in the material world. It is an early success but also the fear of losing what one has gained.</v>
      </c>
      <c r="F3" s="16" t="str">
        <f>INDEX(Table1[Card Title &amp; Meaning],MATCH(B3,Table1[Card Name],0))</f>
        <v>4 is the value of the 4 of Pentacles. The 4 of Pentacles is a All Minor cards are indicitive of choice and indicate an element..  The 4 of Pentacles is the card of Greed-Power foundation.  I figure sits with a pentacle balancing on his head or crown chakra, and his heart chakra, and beneath his feet. He clings dearly to the material world. The city behind him represents commerce and his accrued income. He is holding on tight to savings. Security of animal, vegetable, and mineral. Stability in the material world. It is an early success but also the fear of losing what one has gained.</v>
      </c>
      <c r="G3" s="17" t="str">
        <f>INDEX(Table1[Radiant Wise Description],MATCH('Katchina Knife Layout'!B3,Table1[Card Name],0))</f>
        <v>I figure sits with a pentacle balancing on his head or crown chakra, and his heart chakra, and beneath his feet. He clings dearly to the material world. The city behind him represents commerce and his accrued income. He is holding on tight to savings. Security of animal, vegetable, and mineral. Stability in the material world. It is an early success but also the fear of losing what one has gained.</v>
      </c>
      <c r="H3" s="17" t="str">
        <f>INDEX(Table1[Element &amp; Zodiacal Reference - E,O,P,Q,R,S,T,V,W,X],MATCH(B3,Table1[Card Name],0))</f>
        <v>The 4 of Pentacles is represented by the Zodiac sign Virgo, Capricorn, Taurus and symbol ♍ ♑ ♉.The element of Earth. It has a Masculine quality and is associated with the color White and the direction of North. This sign is represented by the  and the stone(s) of . The Astrological influence is Sun in Capricorn .</v>
      </c>
    </row>
    <row r="4" spans="1:8" s="1" customFormat="1" ht="195.75" thickBot="1" x14ac:dyDescent="0.3">
      <c r="A4" s="12"/>
      <c r="B4" s="33" t="s">
        <v>201</v>
      </c>
      <c r="C4" s="46"/>
      <c r="D4" s="40" t="s">
        <v>809</v>
      </c>
      <c r="E4" s="43" t="str">
        <f t="shared" si="0"/>
        <v>The Queen of Swords card:  Queen/Mother is the value of the Queen of Swords. The Queen of Swords is a Pre-destined card of Fate.  Indicate Element and Personality traits. Symbolic-Court cards (16 male, 16 female - Stages of maturity (depending on suit and level of maturity) Court cards represent a combination of Element and Personal.  The Queen of Swords is the card of Intelligence, Keen perception; a person alone.  Clear thinking, straight, and to the point. Perfect articulation. Knowing what you want and expressing it succinctly. The queen of swords wheels the mature and feminine power of the mind. Her hand is extended to invite you in and ask sending greetings. Her sword is pointed towards clarity and truth so the highest form of truth is given. She will always tell you what you need to hear and convey it in the most direct form possible. Astrologically speaking, The Queen of Swords is represented by the Zodiac sign Gemini, Libra, Aquarius and symbol ♊ ♎ ♒.The element of Air. It has a Masculine quality and is associated with the color Yellow and the direction of East. This sign is represented by the  and the stone(s) of . The Astrological influence is Virgo/Libra . The Symbolic and Divinitary meaning Queen of Swords; Clear thinking, straight, and to the point. Perfect articulation. Knowing what you want and expressing it succinctly. The queen of swords wheels the mature and feminine power of the mind. Her hand is extended to invite you in and ask sending greetings. Her sword is pointed towards clarity and truth so the highest form of truth is given. She will always tell you what you need to hear and convey it in the most direct form possible.</v>
      </c>
      <c r="F4" s="16" t="str">
        <f>INDEX(Table1[Card Title &amp; Meaning],MATCH(B4,Table1[Card Name],0))</f>
        <v>Queen/Mother is the value of the Queen of Swords. The Queen of Swords is a Pre-destined card of Fate.  Indicate Element and Personality traits. Symbolic-Court cards (16 male, 16 female - Stages of maturity (depending on suit and level of maturity) Court cards represent a combination of Element and Personal.  The Queen of Swords is the card of Intelligence, Keen perception; a person alone.  Clear thinking, straight, and to the point. Perfect articulation. Knowing what you want and expressing it succinctly. The queen of swords wheels the mature and feminine power of the mind. Her hand is extended to invite you in and ask sending greetings. Her sword is pointed towards clarity and truth so the highest form of truth is given. She will always tell you what you need to hear and convey it in the most direct form possible.</v>
      </c>
      <c r="G4" s="17" t="str">
        <f>INDEX(Table1[Radiant Wise Description],MATCH('Katchina Knife Layout'!B4,Table1[Card Name],0))</f>
        <v>Clear thinking, straight, and to the point. Perfect articulation. Knowing what you want and expressing it succinctly. The queen of swords wheels the mature and feminine power of the mind. Her hand is extended to invite you in and ask sending greetings. Her sword is pointed towards clarity and truth so the highest form of truth is given. She will always tell you what you need to hear and convey it in the most direct form possible.</v>
      </c>
      <c r="H4" s="17" t="str">
        <f>INDEX(Table1[Element &amp; Zodiacal Reference - E,O,P,Q,R,S,T,V,W,X],MATCH(B4,Table1[Card Name],0))</f>
        <v>The Queen of Swords is represented by the Zodiac sign Gemini, Libra, Aquarius and symbol ♊ ♎ ♒.The element of Air. It has a Masculine quality and is associated with the color Yellow and the direction of East. This sign is represented by the  and the stone(s) of . The Astrological influence is Virgo/Libra .</v>
      </c>
    </row>
    <row r="5" spans="1:8" s="1" customFormat="1" ht="195.75" thickBot="1" x14ac:dyDescent="0.3">
      <c r="A5" s="12"/>
      <c r="B5" s="33" t="s">
        <v>184</v>
      </c>
      <c r="C5" s="46"/>
      <c r="D5" s="40" t="s">
        <v>152</v>
      </c>
      <c r="E5" s="43" t="str">
        <f t="shared" si="0"/>
        <v>The 8 of Cups card:  8 is the value of the 8 of Cups. The 8 of Cups is a All Minor cards are indicitive of choice and indicate an element..  The 8 of Cups is the card of Indolence, Laziness.  Journey. Above and beyond. Leaving behind what has been gained to move forward. The eclipse pictured on the card marks a unique moment in time posed by the eight of cups. It shines a super natural light upon the beginning of a journey that can only be undertaken in full maturity. The hermit sets out on his path to the Mountains where he will eventually shine his light. The journey is solitary in nature and reflects relying on the strength of the self. Nothing will ever be the same as you forge a new path. Astrologically speaking, The 8 of Cups is represented by the Zodiac sign Pices, Cancer, Scorpio and symbol ♓ ♋ ♏.The element of Water. It has a Masculine quality and is associated with the color Black and the direction of West. This sign is represented by the  and the stone(s) of . The Astrological influence is Saturn in Pisces . The Symbolic and Divinitary meaning 8 of Cups; Journey. Above and beyond. Leaving behind what has been gained to move forward. The eclipse pictured on the card marks a unique moment in time posed by the eight of cups. It shines a super natural light upon the beginning of a journey that can only be undertaken in full maturity. The hermit sets out on his path to the Mountains where he will eventually shine his light. The journey is solitary in nature and reflects relying on the strength of the self. Nothing will ever be the same as you forge a new path.</v>
      </c>
      <c r="F5" s="16" t="str">
        <f>INDEX(Table1[Card Title &amp; Meaning],MATCH(B5,Table1[Card Name],0))</f>
        <v>8 is the value of the 8 of Cups. The 8 of Cups is a All Minor cards are indicitive of choice and indicate an element..  The 8 of Cups is the card of Indolence, Laziness.  Journey. Above and beyond. Leaving behind what has been gained to move forward. The eclipse pictured on the card marks a unique moment in time posed by the eight of cups. It shines a super natural light upon the beginning of a journey that can only be undertaken in full maturity. The hermit sets out on his path to the Mountains where he will eventually shine his light. The journey is solitary in nature and reflects relying on the strength of the self. Nothing will ever be the same as you forge a new path.</v>
      </c>
      <c r="G5" s="17" t="str">
        <f>INDEX(Table1[Radiant Wise Description],MATCH('Katchina Knife Layout'!B5,Table1[Card Name],0))</f>
        <v>Journey. Above and beyond. Leaving behind what has been gained to move forward. The eclipse pictured on the card marks a unique moment in time posed by the eight of cups. It shines a super natural light upon the beginning of a journey that can only be undertaken in full maturity. The hermit sets out on his path to the Mountains where he will eventually shine his light. The journey is solitary in nature and reflects relying on the strength of the self. Nothing will ever be the same as you forge a new path.</v>
      </c>
      <c r="H5" s="17" t="str">
        <f>INDEX(Table1[Element &amp; Zodiacal Reference - E,O,P,Q,R,S,T,V,W,X],MATCH(B5,Table1[Card Name],0))</f>
        <v>The 8 of Cups is represented by the Zodiac sign Pices, Cancer, Scorpio and symbol ♓ ♋ ♏.The element of Water. It has a Masculine quality and is associated with the color Black and the direction of West. This sign is represented by the  and the stone(s) of . The Astrological influence is Saturn in Pisces .</v>
      </c>
    </row>
    <row r="6" spans="1:8" s="1" customFormat="1" ht="330.75" thickBot="1" x14ac:dyDescent="0.3">
      <c r="A6" s="12"/>
      <c r="B6" s="33" t="s">
        <v>540</v>
      </c>
      <c r="C6" s="46"/>
      <c r="D6" s="40" t="s">
        <v>810</v>
      </c>
      <c r="E6" s="43" t="str">
        <f t="shared" si="0"/>
        <v xml:space="preserve">The Moon card:  18 is the value of the Moon. The Moon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Moon is the card of Evolution, gradual change.  Dreams and psychic activities. Strange rumblings. Something inside you longs to be seen. Subconscious bears fruit. Supernatural experience. Intuition overload. Uncanny feelings. Opening to the cyclical nature of life. Learning to adapt to the ever-changing nature can be difficult when we want to stay inside our comfort zone. Yet, learning to move with life’s ebbs and flows, aligning oneself with the cyclical nature of the moon help us ride life‘s ups and downs. Energy cycles around yet you cultivate the ability to stay centered. The crawfish emerging from the pool is a piece of your unconscious ready to be seen. It is ready to take on form and shape in the material world. The dog and wolf reflect the push and pull of our animal and bass in stinks. The two towers are indicative of the dual polarities we exist between, always shifting and evolving. The path between the mountains is the road you will travel.  Astrologically speaking, The Moon is represented by the Zodiac sign Pices and symbol ♓️.The element of water. It has a Masculine quality and is associated with the color Black and the direction of West. This sign is represented by the Fish, dolphin, dog, and jackal and the stone(s) of Pearl. The Astrological influence is Neptune . The Symbolic and Divinitary meaning Moon; Dreams and psychic activities. Strange rumblings. Something inside you longs to be seen. Subconscious bears fruit. Supernatural experience. Intuition overload. Uncanny feelings. Opening to the cyclical nature of life. Learning to adapt to the ever-changing nature can be difficult when we want to stay inside our comfort zone. Yet, learning to move with life’s ebbs and flows, aligning oneself with the cyclical nature of the moon help us ride life‘s ups and downs. Energy cycles around yet you cultivate the ability to stay centered. The crawfish emerging from the pool is a piece of your unconscious ready to be seen. It is ready to take on form and shape in the material world. The dog and wolf reflect the push and pull of our animal and bass in stinks. The two towers are indicative of the dual polarities we exist between, always shifting and evolving. The path between the mountains is the road you will travel. </v>
      </c>
      <c r="F6" s="16" t="str">
        <f>INDEX(Table1[Card Title &amp; Meaning],MATCH(B6,Table1[Card Name],0))</f>
        <v xml:space="preserve">18 is the value of the Moon. The Moon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Moon is the card of Evolution, gradual change.  Dreams and psychic activities. Strange rumblings. Something inside you longs to be seen. Subconscious bears fruit. Supernatural experience. Intuition overload. Uncanny feelings. Opening to the cyclical nature of life. Learning to adapt to the ever-changing nature can be difficult when we want to stay inside our comfort zone. Yet, learning to move with life’s ebbs and flows, aligning oneself with the cyclical nature of the moon help us ride life‘s ups and downs. Energy cycles around yet you cultivate the ability to stay centered. The crawfish emerging from the pool is a piece of your unconscious ready to be seen. It is ready to take on form and shape in the material world. The dog and wolf reflect the push and pull of our animal and bass in stinks. The two towers are indicative of the dual polarities we exist between, always shifting and evolving. The path between the mountains is the road you will travel. </v>
      </c>
      <c r="G6" s="17" t="str">
        <f>INDEX(Table1[Radiant Wise Description],MATCH('Katchina Knife Layout'!B6,Table1[Card Name],0))</f>
        <v xml:space="preserve">Dreams and psychic activities. Strange rumblings. Something inside you longs to be seen. Subconscious bears fruit. Supernatural experience. Intuition overload. Uncanny feelings. Opening to the cyclical nature of life. Learning to adapt to the ever-changing nature can be difficult when we want to stay inside our comfort zone. Yet, learning to move with life’s ebbs and flows, aligning oneself with the cyclical nature of the moon help us ride life‘s ups and downs. Energy cycles around yet you cultivate the ability to stay centered. The crawfish emerging from the pool is a piece of your unconscious ready to be seen. It is ready to take on form and shape in the material world. The dog and wolf reflect the push and pull of our animal and bass in stinks. The two towers are indicative of the dual polarities we exist between, always shifting and evolving. The path between the mountains is the road you will travel. </v>
      </c>
      <c r="H6" s="17" t="str">
        <f>INDEX(Table1[Element &amp; Zodiacal Reference - E,O,P,Q,R,S,T,V,W,X],MATCH(B6,Table1[Card Name],0))</f>
        <v>The Moon is represented by the Zodiac sign Pices and symbol ♓️.The element of water. It has a Masculine quality and is associated with the color Black and the direction of West. This sign is represented by the Fish, dolphin, dog, and jackal and the stone(s) of Pearl. The Astrological influence is Neptune .</v>
      </c>
    </row>
    <row r="7" spans="1:8" s="1" customFormat="1" ht="210.75" thickBot="1" x14ac:dyDescent="0.3">
      <c r="A7" s="12"/>
      <c r="B7" s="33" t="s">
        <v>190</v>
      </c>
      <c r="C7" s="46"/>
      <c r="D7" s="40" t="s">
        <v>153</v>
      </c>
      <c r="E7" s="43" t="str">
        <f t="shared" si="0"/>
        <v>The Page of Cups card:  Page/Princess/Child is the value of the Page of Cups. The Page of Cups is a Pre-destined card of Fate.  Indicate Element and Personality traits. Symbolic-Court cards (16 male, 16 female - Stages of maturity (depending on suit and level of maturity) Court cards represent a combination of Element and Personal.  The Page of Cups is the card of Good Luck, Fortunate news, Opportunity-(prince) Transformation, Dive through levels of perception, (princess) Creaive, Simple, Playful, Free spirit.  Dreamy, youth full personality. Psychic visions. Imagination games. Geez deeply. Artistic. Gentle. Open mind. The sweet child of cups reflects all the soft and intuitive parts of your own psyche. It is moments of being carried away by the wonder of your own imagination, listening to music, reading a beautiful book or watching an incredible film. It is feeling young and free and above all things, feeling what is possible. Astrologically speaking, The Page of Cups is represented by the Zodiac sign Pices, Cancer, Scorpio and symbol ♓ ♋ ♏.The element of Water. It has a Masculine quality and is associated with the color Black and the direction of West. This sign is represented by the  and the stone(s) of . The Astrological influence is female Earth of Water, Male Air of Water . The Symbolic and Divinitary meaning Page of Cups; Dreamy, youth full personality. Psychic visions. Imagination games. Geez deeply. Artistic. Gentle. Open mind. The sweet child of cups reflects all the soft and intuitive parts of your own psyche. It is moments of being carried away by the wonder of your own imagination, listening to music, reading a beautiful book or watching an incredible film. It is feeling young and free and above all things, feeling what is possible.</v>
      </c>
      <c r="F7" s="16" t="str">
        <f>INDEX(Table1[Card Title &amp; Meaning],MATCH(B7,Table1[Card Name],0))</f>
        <v>Page/Princess/Child is the value of the Page of Cups. The Page of Cups is a Pre-destined card of Fate.  Indicate Element and Personality traits. Symbolic-Court cards (16 male, 16 female - Stages of maturity (depending on suit and level of maturity) Court cards represent a combination of Element and Personal.  The Page of Cups is the card of Good Luck, Fortunate news, Opportunity-(prince) Transformation, Dive through levels of perception, (princess) Creaive, Simple, Playful, Free spirit.  Dreamy, youth full personality. Psychic visions. Imagination games. Geez deeply. Artistic. Gentle. Open mind. The sweet child of cups reflects all the soft and intuitive parts of your own psyche. It is moments of being carried away by the wonder of your own imagination, listening to music, reading a beautiful book or watching an incredible film. It is feeling young and free and above all things, feeling what is possible.</v>
      </c>
      <c r="G7" s="17" t="str">
        <f>INDEX(Table1[Radiant Wise Description],MATCH('Katchina Knife Layout'!B7,Table1[Card Name],0))</f>
        <v>Dreamy, youth full personality. Psychic visions. Imagination games. Geez deeply. Artistic. Gentle. Open mind. The sweet child of cups reflects all the soft and intuitive parts of your own psyche. It is moments of being carried away by the wonder of your own imagination, listening to music, reading a beautiful book or watching an incredible film. It is feeling young and free and above all things, feeling what is possible.</v>
      </c>
      <c r="H7" s="17" t="str">
        <f>INDEX(Table1[Element &amp; Zodiacal Reference - E,O,P,Q,R,S,T,V,W,X],MATCH(B7,Table1[Card Name],0))</f>
        <v>The Page of Cups is represented by the Zodiac sign Pices, Cancer, Scorpio and symbol ♓ ♋ ♏.The element of Water. It has a Masculine quality and is associated with the color Black and the direction of West. This sign is represented by the  and the stone(s) of . The Astrological influence is female Earth of Water, Male Air of Water .</v>
      </c>
    </row>
    <row r="8" spans="1:8" s="1" customFormat="1" ht="315.75" thickBot="1" x14ac:dyDescent="0.3">
      <c r="A8" s="12"/>
      <c r="B8" s="34" t="s">
        <v>17</v>
      </c>
      <c r="C8" s="47"/>
      <c r="D8" s="41" t="s">
        <v>154</v>
      </c>
      <c r="E8" s="43" t="str">
        <f t="shared" si="0"/>
        <v xml:space="preserve">The Tower card:  16 is the value of the Tower. The Tower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Tower is the card of Radical change.  The key to the tower card lay in the crown blown off the tip of the tower . The circular crown never fit the square tower. It may be your situation never fit it may be years old and move past your correct circumstance. We all out we've all out grown things what's essential for us. The key lay in weathering the storm and shedding the snakeskin when it is time to move on, assert yourself, or take the steps you need to take. This is why the toughest, scariest cards come near the end of the major arcana . It is only through facing the tough stuff that we may taste the sweet nectar of growth and evolution. Ruin, collapse, and release. Flash of brilliance. Bolts illusions shattered. Destruction of what was never meant to be. Change can frighten us even when what is being destroyed Is not good for us. It was our comfort, inside the discomfort that made us think we needed it.   Astrologically speaking, The Tower is represented by the Zodiac sign Aries and symbol ♈.The element of Fire. It has a Masculine quality and is associated with the color Red and the direction of South. This sign is represented by the Horse, bear, wolf, and boar and the stone(s) of Ruby or any red stone. The Astrological influence is Mars . The Symbolic and Divinitary meaning Tower; The key to the tower card lay in the crown blown off the tip of the tower . The circular crown never fit the square tower. It may be your situation never fit it may be years old and move past your correct circumstance. We all out we've all out grown things what's essential for us. The key lay in weathering the storm and shedding the snakeskin when it is time to move on, assert yourself, or take the steps you need to take. This is why the toughest, scariest cards come near the end of the major arcana . It is only through facing the tough stuff that we may taste the sweet nectar of growth and evolution. Ruin, collapse, and release. Flash of brilliance. Bolts illusions shattered. Destruction of what was never meant to be. Change can frighten us even when what is being destroyed Is not good for us. It was our comfort, inside the discomfort that made us think we needed it.  </v>
      </c>
      <c r="F8" s="16" t="str">
        <f>INDEX(Table1[Card Title &amp; Meaning],MATCH(B8,Table1[Card Name],0))</f>
        <v xml:space="preserve">16 is the value of the Tower. The Tower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Tower is the card of Radical change.  The key to the tower card lay in the crown blown off the tip of the tower . The circular crown never fit the square tower. It may be your situation never fit it may be years old and move past your correct circumstance. We all out we've all out grown things what's essential for us. The key lay in weathering the storm and shedding the snakeskin when it is time to move on, assert yourself, or take the steps you need to take. This is why the toughest, scariest cards come near the end of the major arcana . It is only through facing the tough stuff that we may taste the sweet nectar of growth and evolution. Ruin, collapse, and release. Flash of brilliance. Bolts illusions shattered. Destruction of what was never meant to be. Change can frighten us even when what is being destroyed Is not good for us. It was our comfort, inside the discomfort that made us think we needed it.  </v>
      </c>
      <c r="G8" s="17" t="str">
        <f>INDEX(Table1[Radiant Wise Description],MATCH('Katchina Knife Layout'!B8,Table1[Card Name],0))</f>
        <v xml:space="preserve">The key to the tower card lay in the crown blown off the tip of the tower . The circular crown never fit the square tower. It may be your situation never fit it may be years old and move past your correct circumstance. We all out we've all out grown things what's essential for us. The key lay in weathering the storm and shedding the snakeskin when it is time to move on, assert yourself, or take the steps you need to take. This is why the toughest, scariest cards come near the end of the major arcana . It is only through facing the tough stuff that we may taste the sweet nectar of growth and evolution. Ruin, collapse, and release. Flash of brilliance. Bolts illusions shattered. Destruction of what was never meant to be. Change can frighten us even when what is being destroyed Is not good for us. It was our comfort, inside the discomfort that made us think we needed it.  </v>
      </c>
      <c r="H8" s="17" t="str">
        <f>INDEX(Table1[Element &amp; Zodiacal Reference - E,O,P,Q,R,S,T,V,W,X],MATCH(B8,Table1[Card Name],0))</f>
        <v>The Tower is represented by the Zodiac sign Aries and symbol ♈.The element of Fire. It has a Masculine quality and is associated with the color Red and the direction of South. This sign is represented by the Horse, bear, wolf, and boar and the stone(s) of Ruby or any red stone. The Astrological influence is Mars .</v>
      </c>
    </row>
    <row r="9" spans="1:8" s="1" customFormat="1" ht="15.75" thickBot="1" x14ac:dyDescent="0.3">
      <c r="A9" s="12"/>
      <c r="B9" s="34"/>
      <c r="C9" s="47"/>
      <c r="D9" s="41" t="s">
        <v>811</v>
      </c>
      <c r="E9" s="43" t="str">
        <f t="shared" si="0"/>
        <v xml:space="preserve">The  card:   Astrologically speaking,  The Symbolic and Divinitary meaning ; </v>
      </c>
      <c r="G9" s="5"/>
    </row>
    <row r="10" spans="1:8" ht="15.75" thickBot="1" x14ac:dyDescent="0.3">
      <c r="A10" s="12"/>
      <c r="B10" s="34"/>
      <c r="C10" s="47"/>
      <c r="D10" s="41" t="s">
        <v>812</v>
      </c>
      <c r="E10" s="43" t="str">
        <f t="shared" si="0"/>
        <v xml:space="preserve">The  card:   Astrologically speaking,  The Symbolic and Divinitary meaning ; </v>
      </c>
    </row>
  </sheetData>
  <phoneticPr fontId="7" type="noConversion"/>
  <pageMargins left="0.7" right="0.7" top="0.75" bottom="0.75" header="0.3" footer="0.3"/>
  <pageSetup orientation="landscape" r:id="rId1"/>
  <webPublishItems count="2">
    <webPublishItem id="10585" divId="RaidianWiseDeckTemplate_master_10585" sourceType="printArea" destinationFile="https://edrnet-my.sharepoint.com/personal/ksprinkle_edrnet_com/Documents/Tarot/RaidianWiseDeckTemplate_master.mht" autoRepublish="1"/>
    <webPublishItem id="30911" divId="RaidianWiseDeckTemplate_master_30911" sourceType="range" sourceRef="B1:E8" destinationFile="https://edrnet-my.sharepoint.com/personal/ksprinkle_edrnet_com/Documents/Tarot/readingSummary_kevin_8-16-21.mht"/>
  </webPublishItems>
  <extLst>
    <ext xmlns:x14="http://schemas.microsoft.com/office/spreadsheetml/2009/9/main" uri="{CCE6A557-97BC-4b89-ADB6-D9C93CAAB3DF}">
      <x14:dataValidations xmlns:xm="http://schemas.microsoft.com/office/excel/2006/main" count="1">
        <x14:dataValidation type="list" allowBlank="1" showInputMessage="1" showErrorMessage="1" promptTitle="Select the card drawn" xr:uid="{C71CDB5A-2C81-4224-87DF-1DBADF0E1EAE}">
          <x14:formula1>
            <xm:f>'Card Key'!$E$2:$E$79</xm:f>
          </x14:formula1>
          <xm:sqref>B2:C10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8D43E-8D96-4F83-9E34-DE01271D32E4}">
  <sheetPr codeName="Sheet2">
    <tabColor rgb="FFFF0000"/>
  </sheetPr>
  <dimension ref="A1:AB79"/>
  <sheetViews>
    <sheetView tabSelected="1" zoomScale="85" zoomScaleNormal="85" workbookViewId="0">
      <pane ySplit="1" topLeftCell="A2" activePane="bottomLeft" state="frozen"/>
      <selection activeCell="K1" sqref="K1"/>
      <selection pane="bottomLeft" activeCell="D3" sqref="D3"/>
    </sheetView>
  </sheetViews>
  <sheetFormatPr defaultColWidth="36" defaultRowHeight="134.25" customHeight="1" x14ac:dyDescent="0.25"/>
  <cols>
    <col min="1" max="1" width="12.85546875" style="2" customWidth="1"/>
    <col min="2" max="2" width="32.140625" bestFit="1" customWidth="1"/>
    <col min="3" max="3" width="12.85546875" style="2" customWidth="1"/>
    <col min="4" max="4" width="14.7109375" style="2" customWidth="1"/>
    <col min="5" max="5" width="11.5703125" customWidth="1"/>
    <col min="6" max="6" width="10.5703125" customWidth="1"/>
    <col min="7" max="7" width="24.42578125" style="2" customWidth="1"/>
    <col min="8" max="8" width="16.85546875" style="10" customWidth="1"/>
    <col min="9" max="9" width="8" style="2" customWidth="1"/>
    <col min="10" max="10" width="22.140625" style="10" customWidth="1"/>
    <col min="11" max="11" width="12.28515625" style="18" customWidth="1"/>
    <col min="12" max="12" width="20.5703125" style="9" customWidth="1"/>
    <col min="13" max="13" width="44.28515625" style="9" customWidth="1"/>
    <col min="14" max="14" width="6.5703125" style="2" customWidth="1"/>
    <col min="15" max="15" width="13.140625" style="2" customWidth="1"/>
    <col min="16" max="16" width="10.7109375" style="2" customWidth="1"/>
    <col min="17" max="17" width="12" style="8" customWidth="1"/>
    <col min="18" max="18" width="14.5703125" style="8" customWidth="1"/>
    <col min="19" max="19" width="12" style="8" customWidth="1"/>
    <col min="20" max="20" width="8.28515625" style="8" customWidth="1"/>
    <col min="21" max="22" width="9" style="8" customWidth="1"/>
    <col min="23" max="23" width="20.42578125" style="8" customWidth="1"/>
    <col min="24" max="24" width="11.85546875" style="8" customWidth="1"/>
    <col min="25" max="25" width="11" style="8" customWidth="1"/>
    <col min="26" max="26" width="11.42578125" customWidth="1"/>
    <col min="27" max="28" width="20.42578125" style="8" customWidth="1"/>
    <col min="29" max="16384" width="36" style="3"/>
  </cols>
  <sheetData>
    <row r="1" spans="1:28" s="31" customFormat="1" ht="134.25" customHeight="1" thickBot="1" x14ac:dyDescent="0.3">
      <c r="A1" s="6" t="s">
        <v>0</v>
      </c>
      <c r="B1" s="7" t="s">
        <v>1</v>
      </c>
      <c r="C1" s="35" t="s">
        <v>513</v>
      </c>
      <c r="D1" s="35" t="s">
        <v>512</v>
      </c>
      <c r="E1" s="24" t="s">
        <v>155</v>
      </c>
      <c r="F1" s="23" t="s">
        <v>292</v>
      </c>
      <c r="G1" s="19" t="s">
        <v>545</v>
      </c>
      <c r="H1" s="25" t="s">
        <v>209</v>
      </c>
      <c r="I1" s="25" t="s">
        <v>124</v>
      </c>
      <c r="J1" s="25" t="s">
        <v>803</v>
      </c>
      <c r="K1" s="25" t="s">
        <v>46</v>
      </c>
      <c r="L1" s="25" t="s">
        <v>130</v>
      </c>
      <c r="M1" s="26" t="s">
        <v>804</v>
      </c>
      <c r="N1" s="25" t="s">
        <v>365</v>
      </c>
      <c r="O1" s="30" t="s">
        <v>433</v>
      </c>
      <c r="P1" s="25" t="s">
        <v>546</v>
      </c>
      <c r="Q1" s="25" t="s">
        <v>547</v>
      </c>
      <c r="R1" s="25" t="s">
        <v>548</v>
      </c>
      <c r="S1" s="25" t="s">
        <v>584</v>
      </c>
      <c r="T1" s="36" t="s">
        <v>585</v>
      </c>
      <c r="U1" s="25" t="s">
        <v>586</v>
      </c>
      <c r="V1" s="25" t="s">
        <v>587</v>
      </c>
      <c r="W1" s="26" t="s">
        <v>151</v>
      </c>
      <c r="X1" s="25" t="s">
        <v>662</v>
      </c>
      <c r="Y1" s="36" t="s">
        <v>663</v>
      </c>
      <c r="Z1" s="25" t="s">
        <v>664</v>
      </c>
      <c r="AA1" s="25" t="s">
        <v>665</v>
      </c>
      <c r="AB1" s="25" t="s">
        <v>666</v>
      </c>
    </row>
    <row r="2" spans="1:28" ht="177.75" customHeight="1" x14ac:dyDescent="0.25">
      <c r="A2" s="2" t="s">
        <v>2</v>
      </c>
      <c r="B2" s="21" t="s">
        <v>807</v>
      </c>
      <c r="C2" s="48" t="s">
        <v>514</v>
      </c>
      <c r="D2"/>
      <c r="E2" s="28" t="s">
        <v>4</v>
      </c>
      <c r="F2" s="20" t="s">
        <v>4</v>
      </c>
      <c r="G2" s="22" t="str">
        <f>_xlfn.CONCAT(Table1[[#This Row],[Numerical value]]," is the value of the ",Table1[[#This Row],[Card Name]],". The ",Table1[[#This Row],[Card Name]]," is a ",Table1[[#This Row],[Group Representation]],".  The ", Table1[[#This Row],[Card Name]]," is the card of ",Table1[[#This Row],[Indicitive of]],".  ",Table1[[#This Row],[Radiant Wise Description]])</f>
        <v>0 is the value of the Fool. The Fool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Fool is the card of New beginnings, quest for knowledge.  The Fool walks joyously into the unknown as a bright sunshine falls upon him. His bag carries past experience, his dog reflects animal instincts and the ground before him continues to regenerat as he walks forward.  New cycle of life.  Stepping off into a new adventure.  Optimism and originality. Breaking the norm. Ooutside the box. Daring. Free spirit.</v>
      </c>
      <c r="H2" s="27" t="s">
        <v>210</v>
      </c>
      <c r="I2" s="20" t="s">
        <v>125</v>
      </c>
      <c r="J2" s="20" t="s">
        <v>3</v>
      </c>
      <c r="K2" s="20" t="s">
        <v>47</v>
      </c>
      <c r="L2" s="20" t="s">
        <v>131</v>
      </c>
      <c r="M2"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0 of Fool is the card of Innocence, freedom, spontaneity, a free spirit, new beginning, desire to start. The young fool is holding a white rose that depicts his innocence. He is embarking on a new journey of personal growth but he is unaware of the challenges that have yet to come. He is full of vitality, energy, and confidence. The Fool card´s suit is the suit of the Fool. The card of Fool is indicitive of New beginnings, quest for knowledge. The Fool Brings exciting energy to break you from boredom or stagnation.  Brings a sense of casting all cares aside.  Logic, planning, and order are not involved.  Instead, magical synchronicities and lucky serendipitous evens can occur.  To be open, free, and spontaneous may be foolish behaior  But as his journey progresses, such foolishness does lead to mastery and wisdom. The Fool walks joyously into the unknown as a bright sunshine falls upon him. His bag carries past experience, his dog reflects animal instincts and the ground before him continues to regenerat as he walks forward.  New cycle of life.  Stepping off into a new adventure.  Optimism and originality. Breaking the norm. Ooutside the box. Daring. Free spirit.  The divine message to be found in this card is:  ",[@[Divinatory Meaning]],".</v>
      </c>
      <c r="N2" s="21">
        <v>0</v>
      </c>
      <c r="O2" s="20" t="s">
        <v>434</v>
      </c>
      <c r="P2" s="20" t="s">
        <v>549</v>
      </c>
      <c r="Q2" s="20" t="s">
        <v>550</v>
      </c>
      <c r="R2" s="20" t="s">
        <v>551</v>
      </c>
      <c r="S2" s="20" t="s">
        <v>588</v>
      </c>
      <c r="T2" s="20" t="s">
        <v>589</v>
      </c>
      <c r="U2" s="20" t="s">
        <v>590</v>
      </c>
      <c r="V2" s="20" t="s">
        <v>591</v>
      </c>
      <c r="W2"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Fool is represented by the Zodiac sign Aquarius and symbol ♒️.The element of Fire. It has a Masculine quality and is associated with the color Red and the direction of South. This sign is represented by the Eagle and Man and the stone(s) of Topaz. The Astrological influence is Uranus .</v>
      </c>
      <c r="X2" s="20" t="s">
        <v>667</v>
      </c>
      <c r="Y2" s="20" t="s">
        <v>668</v>
      </c>
      <c r="Z2" s="20" t="s">
        <v>669</v>
      </c>
      <c r="AA2" s="20" t="s">
        <v>670</v>
      </c>
      <c r="AB2" s="20" t="s">
        <v>671</v>
      </c>
    </row>
    <row r="3" spans="1:28" ht="134.25" customHeight="1" x14ac:dyDescent="0.25">
      <c r="A3" s="2" t="s">
        <v>2</v>
      </c>
      <c r="B3" s="21" t="s">
        <v>807</v>
      </c>
      <c r="C3" s="20" t="s">
        <v>515</v>
      </c>
      <c r="D3" s="20"/>
      <c r="E3" s="28" t="s">
        <v>5</v>
      </c>
      <c r="F3" s="20" t="s">
        <v>5</v>
      </c>
      <c r="G3" s="22" t="str">
        <f>_xlfn.CONCAT(Table1[[#This Row],[Numerical value]]," is the value of the ",Table1[[#This Row],[Card Name]],". The ",Table1[[#This Row],[Card Name]]," is a ",Table1[[#This Row],[Group Representation]],".  The ", Table1[[#This Row],[Card Name]]," is the card of ",Table1[[#This Row],[Indicitive of]],".  ",Table1[[#This Row],[Radiant Wise Description]])</f>
        <v>1 is the value of the Magician. The Magician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Magician is the card of Power and perception - breakthrough.  The Magician has all four suits of tarot on the table before him, reminding us what we need is always in front of us.  Flowers decorate the card to show you something has blossomed in the material world. He is the master.  Lighting up the world. Directing attention and outcome.  Casting magic and channeling energy. Dazzling others with skill.  The conduit.</v>
      </c>
      <c r="H3" s="27" t="s">
        <v>211</v>
      </c>
      <c r="I3" s="20" t="s">
        <v>126</v>
      </c>
      <c r="J3" s="20" t="s">
        <v>371</v>
      </c>
      <c r="K3" s="20" t="s">
        <v>48</v>
      </c>
      <c r="L3" s="20" t="s">
        <v>132</v>
      </c>
      <c r="M3"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 of Magician is the card of Skill, will-power, manifestation, The art of communication. The Magician card´s suit is the suit of the Magician. The card of Magician is indicitive of Power and perception - breakthrough. The Magician Magical strength The Magician has all four suits of tarot on the table before him, reminding us what we need is always in front of us.  Flowers decorate the card to show you something has blossomed in the material world. He is the master.  Lighting up the world. Directing attention and outcome.  Casting magic and channeling energy. Dazzling others with skill.  The conduit.  The divine message to be found in this card is:  ",[@[Divinatory Meaning]],".</v>
      </c>
      <c r="N3" s="21">
        <v>1</v>
      </c>
      <c r="O3" s="20" t="s">
        <v>435</v>
      </c>
      <c r="P3" s="20" t="s">
        <v>552</v>
      </c>
      <c r="Q3" s="20" t="s">
        <v>553</v>
      </c>
      <c r="R3" s="20" t="s">
        <v>816</v>
      </c>
      <c r="S3" s="20" t="s">
        <v>592</v>
      </c>
      <c r="T3" s="20" t="s">
        <v>589</v>
      </c>
      <c r="U3" s="20" t="s">
        <v>593</v>
      </c>
      <c r="V3" s="20" t="s">
        <v>594</v>
      </c>
      <c r="W3"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Magician is represented by the Zodiac sign Aries and symbol ♈.The element of Air. It has a Masculine quality and is associated with the color Yellow and the direction of East. This sign is represented by the Swallow, Ibis, and Ape and the stone(s) of Opal and Agate. The Astrological influence is Mercury .</v>
      </c>
      <c r="X3" s="20" t="s">
        <v>667</v>
      </c>
      <c r="Y3" s="20" t="s">
        <v>672</v>
      </c>
      <c r="Z3" s="20" t="s">
        <v>673</v>
      </c>
      <c r="AA3" s="20" t="s">
        <v>674</v>
      </c>
      <c r="AB3" s="20" t="s">
        <v>675</v>
      </c>
    </row>
    <row r="4" spans="1:28" ht="134.25" customHeight="1" x14ac:dyDescent="0.25">
      <c r="A4" s="2" t="s">
        <v>2</v>
      </c>
      <c r="B4" s="21" t="s">
        <v>807</v>
      </c>
      <c r="C4" s="20" t="s">
        <v>516</v>
      </c>
      <c r="D4" s="20"/>
      <c r="E4" s="28" t="s">
        <v>6</v>
      </c>
      <c r="F4" s="20" t="s">
        <v>6</v>
      </c>
      <c r="G4" s="22" t="str">
        <f>_xlfn.CONCAT(Table1[[#This Row],[Numerical value]]," is the value of the ",Table1[[#This Row],[Card Name]],". The ",Table1[[#This Row],[Card Name]]," is a ",Table1[[#This Row],[Group Representation]],".  The ", Table1[[#This Row],[Card Name]]," is the card of ",Table1[[#This Row],[Indicitive of]],".  ",Table1[[#This Row],[Radiant Wise Description]])</f>
        <v>2 is the value of the High Preistess. The High Preistess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High Preistess is the card of Strong destiny.  The High Priestess's veil hides the unseed world.  The book of your life is the scroll in her lap.  A triple moon crown rests on her head reflecting the cylical nature of life.  The B and J on her pillars represent Boaz and Jachin, named for the pillars on King Solomon's temple in Jerusalem.  The pillars are white and black reflecting balance and duality. Her dress is made of water reflecting the emotions and fluid nature of the material world and the feminine principle.   She is the blueprint of your soul.  Occult secrets.  The keeper of inner knowledge.  Authentic voice.  Deepest part of the self.  Self-knowing. Silence. Intuition.</v>
      </c>
      <c r="H4" s="27" t="s">
        <v>212</v>
      </c>
      <c r="I4" s="20" t="s">
        <v>127</v>
      </c>
      <c r="J4" s="20" t="s">
        <v>372</v>
      </c>
      <c r="K4" s="20" t="s">
        <v>49</v>
      </c>
      <c r="L4" s="20" t="s">
        <v>133</v>
      </c>
      <c r="M4"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2 of High Preistess is the card of Innocence, freedom, spontaneity, a free spirit, new beginning, desire to start. The High Preistess card´s suit is the suit of the High Preistess. The card of High Preistess is indicitive of Strong destiny. The High Preistess Receptivity and Intuition, Wisdom, serene knowledge, intuitive judgement, and commen sense. Deep unspoken understanding between two people. The High Priestess's veil hides the unseed world.  The book of your life is the scroll in her lap.  A triple moon crown rests on her head reflecting the cylical nature of life.  The B and J on her pillars represent Boaz and Jachin, named for the pillars on King Solomon's temple in Jerusalem.  The pillars are white and black reflecting balance and duality. Her dress is made of water reflecting the emotions and fluid nature of the material world and the feminine principle.   She is the blueprint of your soul.  Occult secrets.  The keeper of inner knowledge.  Authentic voice.  Deepest part of the self.  Self-knowing. Silence. Intuition.  The divine message to be found in this card is:  ",[@[Divinatory Meaning]],".</v>
      </c>
      <c r="N4" s="21">
        <v>2</v>
      </c>
      <c r="O4" s="20" t="s">
        <v>436</v>
      </c>
      <c r="P4" s="20" t="s">
        <v>555</v>
      </c>
      <c r="Q4" s="20" t="s">
        <v>556</v>
      </c>
      <c r="R4" s="20" t="s">
        <v>817</v>
      </c>
      <c r="S4" s="20" t="s">
        <v>540</v>
      </c>
      <c r="T4" s="20" t="s">
        <v>595</v>
      </c>
      <c r="U4" s="20" t="s">
        <v>596</v>
      </c>
      <c r="V4" s="20" t="s">
        <v>597</v>
      </c>
      <c r="W4"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High Preistess is represented by the Zodiac sign Virgo and symbol ♍.The element of water. It has a Masculine quality and is associated with the color Black and the direction of West. This sign is represented by the Camel, Dog,  and Stork and the stone(s) of Moonstone, Pearl, and Crystal. The Astrological influence is Moon .</v>
      </c>
      <c r="X4" s="20" t="s">
        <v>676</v>
      </c>
      <c r="Y4" s="20" t="s">
        <v>677</v>
      </c>
      <c r="Z4" s="20" t="s">
        <v>678</v>
      </c>
      <c r="AA4" s="20" t="s">
        <v>679</v>
      </c>
      <c r="AB4" s="20" t="s">
        <v>680</v>
      </c>
    </row>
    <row r="5" spans="1:28" ht="134.25" customHeight="1" x14ac:dyDescent="0.25">
      <c r="A5" s="2" t="s">
        <v>2</v>
      </c>
      <c r="B5" s="21" t="s">
        <v>807</v>
      </c>
      <c r="C5" s="20" t="s">
        <v>517</v>
      </c>
      <c r="D5" s="20"/>
      <c r="E5" s="28" t="s">
        <v>7</v>
      </c>
      <c r="F5" s="20" t="s">
        <v>7</v>
      </c>
      <c r="G5" s="22" t="str">
        <f>_xlfn.CONCAT(Table1[[#This Row],[Numerical value]]," is the value of the ",Table1[[#This Row],[Card Name]],". The ",Table1[[#This Row],[Card Name]]," is a ",Table1[[#This Row],[Group Representation]],".  The ", Table1[[#This Row],[Card Name]]," is the card of ",Table1[[#This Row],[Indicitive of]],".  ",Table1[[#This Row],[Radiant Wise Description]])</f>
        <v>3 is the value of the Empress. The Empress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Empress is the card of Abundant harvest.  The twelve stars of the zodiac rest upon the Empress's crown.  The High Priestess's water flows through the waterfall in the background and continues through the Empress card and through the entire Tarot deck.  Her belly is soft and round and indicates pregnancy and all the creativity it implies.  Her scepter reflects the world she holds in her hand.  The symbol of venus, planet and goddess of love and sensuality is placed on her throan.  The wheat field implies growth and harvest and is sacred to the Greek Grain Mother Demeter.  The Empress is bursting creativity.  Mother.  Pregnancy. Powerful, sensual, female nature.  Emotional and nurturing.  Expansion and growth.  The creative principle in action. Deep beauty of all forms.</v>
      </c>
      <c r="H5" s="27" t="s">
        <v>213</v>
      </c>
      <c r="I5" s="20" t="s">
        <v>128</v>
      </c>
      <c r="J5" s="20" t="s">
        <v>374</v>
      </c>
      <c r="K5" s="20" t="s">
        <v>50</v>
      </c>
      <c r="L5" s="20" t="s">
        <v>50</v>
      </c>
      <c r="M5"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3 of Empress is the card of Beauty, femininity, love, nurturing, abundance, pregnancy, creativity. The Empress card´s suit is the suit of the Empress. The card of Empress is indicitive of Abundant harvest. The Empress Abundant harvest The twelve stars of the zodiac rest upon the Empress's crown.  The High Priestess's water flows through the waterfall in the background and continues through the Empress card and through the entire Tarot deck.  Her belly is soft and round and indicates pregnancy and all the creativity it implies.  Her scepter reflects the world she holds in her hand.  The symbol of venus, planet and goddess of love and sensuality is placed on her throan.  The wheat field implies growth and harvest and is sacred to the Greek Grain Mother Demeter.  The Empress is bursting creativity.  Mother.  Pregnancy. Powerful, sensual, female nature.  Emotional and nurturing.  Expansion and growth.  The creative principle in action. Deep beauty of all forms.  The divine message to be found in this card is:  ",[@[Divinatory Meaning]],".</v>
      </c>
      <c r="N5" s="21">
        <v>3</v>
      </c>
      <c r="O5" s="20" t="s">
        <v>437</v>
      </c>
      <c r="P5" s="20" t="s">
        <v>557</v>
      </c>
      <c r="Q5" s="20" t="s">
        <v>558</v>
      </c>
      <c r="R5" s="20" t="s">
        <v>559</v>
      </c>
      <c r="S5" s="20" t="s">
        <v>598</v>
      </c>
      <c r="T5" s="20" t="s">
        <v>595</v>
      </c>
      <c r="U5" s="20" t="s">
        <v>599</v>
      </c>
      <c r="V5" s="20" t="s">
        <v>600</v>
      </c>
      <c r="W5"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Empress is represented by the Zodiac sign Taurus and symbol ♉️.The element of Earth. It has a Masculine quality and is associated with the color White and the direction of North. This sign is represented by the Sparrow, Dove, and Sow and the stone(s) of Emerald and Turquoise. The Astrological influence is Venus .</v>
      </c>
      <c r="X5" s="20" t="s">
        <v>667</v>
      </c>
      <c r="Y5" s="20" t="s">
        <v>681</v>
      </c>
      <c r="Z5" s="20" t="s">
        <v>682</v>
      </c>
      <c r="AA5" s="20" t="s">
        <v>683</v>
      </c>
      <c r="AB5" s="20" t="s">
        <v>684</v>
      </c>
    </row>
    <row r="6" spans="1:28" ht="134.25" customHeight="1" x14ac:dyDescent="0.25">
      <c r="A6" s="2" t="s">
        <v>2</v>
      </c>
      <c r="B6" s="21" t="s">
        <v>807</v>
      </c>
      <c r="C6" s="20" t="s">
        <v>518</v>
      </c>
      <c r="D6" s="20"/>
      <c r="E6" s="28" t="s">
        <v>8</v>
      </c>
      <c r="F6" s="20" t="s">
        <v>8</v>
      </c>
      <c r="G6" s="22" t="str">
        <f>_xlfn.CONCAT(Table1[[#This Row],[Numerical value]]," is the value of the ",Table1[[#This Row],[Card Name]],". The ",Table1[[#This Row],[Card Name]]," is a ",Table1[[#This Row],[Group Representation]],".  The ", Table1[[#This Row],[Card Name]]," is the card of ",Table1[[#This Row],[Indicitive of]],".  ",Table1[[#This Row],[Radiant Wise Description]])</f>
        <v>4 is the value of the Emperor. The Emperor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Emperor is the card of Power and Domination, Patriarchy, material power, protection..  The Empress reflected sensuality and the creative principal while th eEmperor balnaces Empress energy with rules and foundation.He gives forma nd shape to the Empress's expansive nature.  The Emperor holds ankh, the Egyptian symbol of immortality.  The globe in his left hand reflects his dominion over the material world.  The astrological symbol of Aries is represented by the Ram placed on his throan.  He surveys his domain.  The Emperor is where your habits and patters are formed. Father. Order. Authorarian, firm, masculine nature.  Strong and assertive. Setting limits and rules.  Type A personality.  Formation and stability.</v>
      </c>
      <c r="H6" s="27" t="s">
        <v>219</v>
      </c>
      <c r="I6" s="20" t="s">
        <v>129</v>
      </c>
      <c r="J6" s="20" t="s">
        <v>373</v>
      </c>
      <c r="K6" s="20" t="s">
        <v>51</v>
      </c>
      <c r="L6" s="20" t="s">
        <v>134</v>
      </c>
      <c r="M6"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4 of Emperor is the card of Authority, establishment, a dominating male, masculine, wise, father, practical, controlling, male from a patriarchal society, experienced and powerful. The Emperor card´s suit is the suit of the Emperor. The card of Emperor is indicitive of Power and Domination, Patriarchy, material power, protection.. The Emperor Structure, Order, and Power in your life. Significant power shift is imminent.Pioneer, leader, explorer, Strong and successful warrior. A man of Action, Absolute power, authority, iron will. Can lead to corruption if not properly handled.  Successfully channeled leads to dynamic, strong, focused, and incisive catalyst for change and creation.  Can be intolerant, ruthless.  Quickly loses interest and not complete things started in an enthusiastic way.  Posses the power of balanced action. The Empress reflected sensuality and the creative principal while th eEmperor balnaces Empress energy with rules and foundation.He gives forma nd shape to the Empress's expansive nature.  The Emperor holds ankh, the Egyptian symbol of immortality.  The globe in his left hand reflects his dominion over the material world.  The astrological symbol of Aries is represented by the Ram placed on his throan.  He surveys his domain.  The Emperor is where your habits and patters are formed. Father. Order. Authorarian, firm, masculine nature.  Strong and assertive. Setting limits and rules.  Type A personality.  Formation and stability.  The divine message to be found in this card is:  ",[@[Divinatory Meaning]],".</v>
      </c>
      <c r="N6" s="21">
        <v>4</v>
      </c>
      <c r="O6" s="20" t="s">
        <v>438</v>
      </c>
      <c r="P6" s="20" t="s">
        <v>549</v>
      </c>
      <c r="Q6" s="20" t="s">
        <v>553</v>
      </c>
      <c r="R6" s="20" t="s">
        <v>560</v>
      </c>
      <c r="S6" s="20" t="s">
        <v>601</v>
      </c>
      <c r="T6" s="20" t="s">
        <v>589</v>
      </c>
      <c r="U6" s="20" t="s">
        <v>590</v>
      </c>
      <c r="V6" s="20" t="s">
        <v>591</v>
      </c>
      <c r="W6"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Emperor is represented by the Zodiac sign Aries and symbol ♈️.The element of Fire. It has a Masculine quality and is associated with the color Red and the direction of South. This sign is represented by the Ram and Owl and the stone(s) of Ruby. The Astrological influence is Mars .</v>
      </c>
      <c r="X6" s="20" t="s">
        <v>667</v>
      </c>
      <c r="Y6" s="20" t="s">
        <v>685</v>
      </c>
      <c r="Z6" s="20" t="s">
        <v>686</v>
      </c>
      <c r="AA6" s="20" t="s">
        <v>687</v>
      </c>
      <c r="AB6" s="20" t="s">
        <v>688</v>
      </c>
    </row>
    <row r="7" spans="1:28" ht="134.25" customHeight="1" x14ac:dyDescent="0.25">
      <c r="A7" s="2" t="s">
        <v>2</v>
      </c>
      <c r="B7" s="21" t="s">
        <v>807</v>
      </c>
      <c r="C7" s="20" t="s">
        <v>519</v>
      </c>
      <c r="D7" s="20"/>
      <c r="E7" s="28" t="s">
        <v>9</v>
      </c>
      <c r="F7" s="20" t="s">
        <v>9</v>
      </c>
      <c r="G7" s="22" t="str">
        <f>_xlfn.CONCAT(Table1[[#This Row],[Numerical value]]," is the value of the ",Table1[[#This Row],[Card Name]],". The ",Table1[[#This Row],[Card Name]]," is a ",Table1[[#This Row],[Group Representation]],".  The ", Table1[[#This Row],[Card Name]]," is the card of ",Table1[[#This Row],[Indicitive of]],".  ",Table1[[#This Row],[Radiant Wise Description]])</f>
        <v>5 is the value of the Hierophant. The Hierophant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Hierophant is the card of Structure, connects Wisdom and Mercy.  The Hierophant sits between two pillars like the High Preistess.He makes a sign of benediction, a blessing, with his right hand.  The monks below him create a graphic trinity reflecting the Heirophant's societal import.  He is the outer form of cultural religion. His crossed keys unlock deep mystery as the Heirophant represents a doorway into the mystery of spiritual life.  Emblematic figure of religious authority.  Symbol of spiritual mystery in all societies.  Dogma and scripture. Mediator and translator.  Mentor and Student.</v>
      </c>
      <c r="H7" s="27" t="s">
        <v>220</v>
      </c>
      <c r="I7" s="20" t="s">
        <v>293</v>
      </c>
      <c r="J7" s="20" t="s">
        <v>375</v>
      </c>
      <c r="K7" s="20" t="s">
        <v>52</v>
      </c>
      <c r="L7" s="20" t="s">
        <v>135</v>
      </c>
      <c r="M7"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5 of Hierophant is the card of Religious beliefs, conformity, marriage, knowledge sharing, blind faith. The Hierophant card´s suit is the suit of the Hierophant. The card of Hierophant is indicitive of Structure, connects Wisdom and Mercy. The Hierophant Ask someone wiser. Bring more structure into a situation by following more structure/religion  Shows a situation is following a stuctured path with no twists and turns expected..Structure, rules, rigity, dealing with people who won't budge.  You will either seek structure or be confined by it. Often portends a religious ceremony like a wedding, baptism, funeral etc.. Represents authority, convention, and a commitment to following a strict orthodox lifestyle. The Hierophant sits between two pillars like the High Preistess.He makes a sign of benediction, a blessing, with his right hand.  The monks below him create a graphic trinity reflecting the Heirophant's societal import.  He is the outer form of cultural religion. His crossed keys unlock deep mystery as the Heirophant represents a doorway into the mystery of spiritual life.  Emblematic figure of religious authority.  Symbol of spiritual mystery in all societies.  Dogma and scripture. Mediator and translator.  Mentor and Student.  The divine message to be found in this card is:  ",[@[Divinatory Meaning]],".</v>
      </c>
      <c r="N7" s="21">
        <v>5</v>
      </c>
      <c r="O7" s="20" t="s">
        <v>439</v>
      </c>
      <c r="P7" s="20" t="s">
        <v>557</v>
      </c>
      <c r="Q7" s="20" t="s">
        <v>558</v>
      </c>
      <c r="R7" s="20" t="s">
        <v>559</v>
      </c>
      <c r="S7" s="20" t="s">
        <v>598</v>
      </c>
      <c r="T7" s="20" t="s">
        <v>589</v>
      </c>
      <c r="U7" s="20" t="s">
        <v>599</v>
      </c>
      <c r="V7" s="20" t="s">
        <v>600</v>
      </c>
      <c r="W7"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Hierophant is represented by the Zodiac sign Taurus and symbol ♉️.The element of Earth. It has a Masculine quality and is associated with the color White and the direction of North. This sign is represented by the Bull and the stone(s) of Topaz. The Astrological influence is Venus .</v>
      </c>
      <c r="X7" s="20" t="s">
        <v>689</v>
      </c>
      <c r="Y7" s="20" t="s">
        <v>690</v>
      </c>
      <c r="Z7" s="20" t="s">
        <v>669</v>
      </c>
      <c r="AA7" s="20" t="s">
        <v>691</v>
      </c>
      <c r="AB7" s="20" t="s">
        <v>692</v>
      </c>
    </row>
    <row r="8" spans="1:28" ht="134.25" customHeight="1" x14ac:dyDescent="0.25">
      <c r="A8" s="2" t="s">
        <v>2</v>
      </c>
      <c r="B8" s="21" t="s">
        <v>807</v>
      </c>
      <c r="C8" s="20" t="s">
        <v>520</v>
      </c>
      <c r="D8" s="20"/>
      <c r="E8" s="28" t="s">
        <v>10</v>
      </c>
      <c r="F8" s="20" t="s">
        <v>10</v>
      </c>
      <c r="G8" s="22" t="str">
        <f>_xlfn.CONCAT(Table1[[#This Row],[Numerical value]]," is the value of the ",Table1[[#This Row],[Card Name]],". The ",Table1[[#This Row],[Card Name]]," is a ",Table1[[#This Row],[Group Representation]],".  The ", Table1[[#This Row],[Card Name]]," is the card of ",Table1[[#This Row],[Indicitive of]],".  ",Table1[[#This Row],[Radiant Wise Description]])</f>
        <v>6 is the value of the Lovers. The Lovers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Lovers is the card of Love and Harmony.  The Arcangel Raphael, the angle of healing, presides over the card.  The male looks to the female who casts her eyes above invoking the sacred trinity.  The lovers are symbolic of astrological Gemini and also suggestive of Adam and Eve in the garden of Eden.Nudity on the card reflects the ability to be vulnerable and open towards another.  The snake symbolizes temtation and sexuality.  True love.  Passion and romantic excitement.  Deep, soul splitting attraction.  Matters of sexuality; choices of the heart.</v>
      </c>
      <c r="H8" s="27" t="s">
        <v>221</v>
      </c>
      <c r="I8" s="20" t="s">
        <v>294</v>
      </c>
      <c r="J8" s="20" t="s">
        <v>376</v>
      </c>
      <c r="K8" s="20" t="s">
        <v>53</v>
      </c>
      <c r="L8" s="20" t="s">
        <v>53</v>
      </c>
      <c r="M8"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6 of Lovers is the card of Relationship, love, harmony, values, soul mates, partners, strong bond, made for each other. The Lovers card´s suit is the suit of the Lovers. The card of Lovers is indicitive of Love and Harmony. The Lovers Love and Harmony The Arcangel Raphael, the angle of healing, presides over the card.  The male looks to the female who casts her eyes above invoking the sacred trinity.  The lovers are symbolic of astrological Gemini and also suggestive of Adam and Eve in the garden of Eden.Nudity on the card reflects the ability to be vulnerable and open towards another.  The snake symbolizes temtation and sexuality.  True love.  Passion and romantic excitement.  Deep, soul splitting attraction.  Matters of sexuality; choices of the heart.  The divine message to be found in this card is:  ",[@[Divinatory Meaning]],".</v>
      </c>
      <c r="N8" s="21">
        <v>6</v>
      </c>
      <c r="O8" s="20" t="s">
        <v>440</v>
      </c>
      <c r="P8" s="20" t="s">
        <v>552</v>
      </c>
      <c r="Q8" s="20" t="s">
        <v>561</v>
      </c>
      <c r="R8" s="20" t="s">
        <v>562</v>
      </c>
      <c r="S8" s="20" t="s">
        <v>592</v>
      </c>
      <c r="T8" s="20"/>
      <c r="U8" s="20" t="s">
        <v>593</v>
      </c>
      <c r="V8" s="20" t="s">
        <v>594</v>
      </c>
      <c r="W8"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Lovers is represented by the Zodiac sign Gemini and symbol ♊️.The element of Air. It has a Masculine quality and is associated with the color Yellow and the direction of East. This sign is represented by the Magpie and the stone(s) of Alexandrite, Tourmaline, and Iceland spar. The Astrological influence is Mercury .</v>
      </c>
      <c r="X8" s="20" t="s">
        <v>667</v>
      </c>
      <c r="Y8" s="20" t="s">
        <v>693</v>
      </c>
      <c r="Z8" s="20" t="s">
        <v>694</v>
      </c>
      <c r="AA8" s="20" t="s">
        <v>695</v>
      </c>
      <c r="AB8" s="20" t="s">
        <v>696</v>
      </c>
    </row>
    <row r="9" spans="1:28" ht="134.25" customHeight="1" x14ac:dyDescent="0.25">
      <c r="A9" s="2" t="s">
        <v>2</v>
      </c>
      <c r="B9" s="21" t="s">
        <v>807</v>
      </c>
      <c r="C9" s="20" t="s">
        <v>521</v>
      </c>
      <c r="D9" s="20"/>
      <c r="E9" s="28" t="s">
        <v>11</v>
      </c>
      <c r="F9" s="20" t="s">
        <v>11</v>
      </c>
      <c r="G9" s="22" t="str">
        <f>_xlfn.CONCAT(Table1[[#This Row],[Numerical value]]," is the value of the ",Table1[[#This Row],[Card Name]],". The ",Table1[[#This Row],[Card Name]]," is a ",Table1[[#This Row],[Group Representation]],".  The ", Table1[[#This Row],[Card Name]]," is the card of ",Table1[[#This Row],[Indicitive of]],".  ",Table1[[#This Row],[Radiant Wise Description]])</f>
        <v>7 is the value of the Chariot. The Chariot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Chariot is the card of Clear path.  The charioteer is protected by his armor and all celestial bodies are reflected on his canopy.  Two sphinxes aling with the High Preistess's black and white pillars.  They reflect duality and the outer pillars of the Tree of Life.  The Magician channeled energy through his body and in the Charioteer, the entire body is thrust into action.  There is no stopping you. Literally being in the drivers seat. Moving forward toward a chosen goal.  Self-confidence and certainty; Motion and adventure.  The city wall behind the chariot reflects the barrier between you and others.  You are breaking free.</v>
      </c>
      <c r="H9" s="27" t="s">
        <v>222</v>
      </c>
      <c r="I9" s="20" t="s">
        <v>295</v>
      </c>
      <c r="J9" s="20" t="s">
        <v>377</v>
      </c>
      <c r="K9" s="20" t="s">
        <v>54</v>
      </c>
      <c r="L9" s="20" t="s">
        <v>54</v>
      </c>
      <c r="M9"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7 of Chariot is the card of Control, willpower, success, action, determination, two forces pulling in the opposite direction. The Chariot card´s suit is the suit of the Chariot. The card of Chariot is indicitive of Clear path. The Chariot Clear path The charioteer is protected by his armor and all celestial bodies are reflected on his canopy.  Two sphinxes aling with the High Preistess's black and white pillars.  They reflect duality and the outer pillars of the Tree of Life.  The Magician channeled energy through his body and in the Charioteer, the entire body is thrust into action.  There is no stopping you. Literally being in the drivers seat. Moving forward toward a chosen goal.  Self-confidence and certainty; Motion and adventure.  The city wall behind the chariot reflects the barrier between you and others.  You are breaking free.  The divine message to be found in this card is:  ",[@[Divinatory Meaning]],".</v>
      </c>
      <c r="N9" s="21">
        <v>7</v>
      </c>
      <c r="O9" s="20" t="s">
        <v>441</v>
      </c>
      <c r="P9" s="20" t="s">
        <v>555</v>
      </c>
      <c r="Q9" s="20" t="s">
        <v>563</v>
      </c>
      <c r="R9" s="20" t="s">
        <v>564</v>
      </c>
      <c r="S9" s="20" t="s">
        <v>540</v>
      </c>
      <c r="T9" s="20"/>
      <c r="U9" s="20" t="s">
        <v>596</v>
      </c>
      <c r="V9" s="20" t="s">
        <v>597</v>
      </c>
      <c r="W9"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Chariot is represented by the Zodiac sign Cancer and symbol ♋️.The element of water. It has a Masculine quality and is associated with the color Black and the direction of West. This sign is represented by the Crab, Turtle, Sphinx, and Whale and the stone(s) of Amber. The Astrological influence is Moon .</v>
      </c>
      <c r="X9" s="20" t="s">
        <v>667</v>
      </c>
      <c r="Y9" s="20" t="s">
        <v>697</v>
      </c>
      <c r="Z9" s="20" t="s">
        <v>698</v>
      </c>
      <c r="AA9" s="20" t="s">
        <v>699</v>
      </c>
      <c r="AB9" s="20" t="s">
        <v>700</v>
      </c>
    </row>
    <row r="10" spans="1:28" ht="134.25" customHeight="1" x14ac:dyDescent="0.25">
      <c r="A10" s="2" t="s">
        <v>2</v>
      </c>
      <c r="B10" s="21" t="s">
        <v>807</v>
      </c>
      <c r="C10" s="20" t="s">
        <v>522</v>
      </c>
      <c r="D10" s="20"/>
      <c r="E10" s="28" t="s">
        <v>12</v>
      </c>
      <c r="F10" s="20" t="s">
        <v>12</v>
      </c>
      <c r="G10" s="22" t="str">
        <f>_xlfn.CONCAT(Table1[[#This Row],[Numerical value]]," is the value of the ",Table1[[#This Row],[Card Name]],". The ",Table1[[#This Row],[Card Name]]," is a ",Table1[[#This Row],[Group Representation]],".  The ", Table1[[#This Row],[Card Name]]," is the card of ",Table1[[#This Row],[Indicitive of]],".  ",Table1[[#This Row],[Radiant Wise Description]])</f>
        <v>8 is the value of the Strength. The Strength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Strength is the card of Strength and Power - Balance.  The lion reflects the astrological symbol of Leo.  A lemniscate appears above the maiden's head reflecting the infinite nature of the universe.  She gently opens and closes the lion's mouth and doing so exercises keen control over animal instincts.  She does not repress but cleverly allows the energy to move.  This card is the gentle but form strength of knowing when to apply pressure and when to sit back and let it flow.  Sustaining power in all forms.  Kindness to self and others. Physical health. Moral character. Intelligence over violence. Self control.</v>
      </c>
      <c r="H10" s="27" t="s">
        <v>223</v>
      </c>
      <c r="I10" s="20" t="s">
        <v>296</v>
      </c>
      <c r="J10" s="20" t="s">
        <v>378</v>
      </c>
      <c r="K10" s="20" t="s">
        <v>55</v>
      </c>
      <c r="L10" s="20" t="s">
        <v>55</v>
      </c>
      <c r="M10"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8 of Strength is the card of Control. Strength, influence, compassion, energy, endurance, success, Overcoming an obstacle. The Strength card´s suit is the suit of the Strength. The card of Strength is indicitive of Strength and Power - Balance. The Strength Strength and Power - Balance The lion reflects the astrological symbol of Leo.  A lemniscate appears above the maiden's head reflecting the infinite nature of the universe.  She gently opens and closes the lion's mouth and doing so exercises keen control over animal instincts.  She does not repress but cleverly allows the energy to move.  This card is the gentle but form strength of knowing when to apply pressure and when to sit back and let it flow.  Sustaining power in all forms.  Kindness to self and others. Physical health. Moral character. Intelligence over violence. Self control.  The divine message to be found in this card is:  ",[@[Divinatory Meaning]],".</v>
      </c>
      <c r="N10" s="21">
        <v>8</v>
      </c>
      <c r="O10" s="20" t="s">
        <v>442</v>
      </c>
      <c r="P10" s="20" t="s">
        <v>549</v>
      </c>
      <c r="Q10" s="20" t="s">
        <v>565</v>
      </c>
      <c r="R10" s="20" t="s">
        <v>566</v>
      </c>
      <c r="S10" s="20" t="s">
        <v>19</v>
      </c>
      <c r="T10" s="20"/>
      <c r="U10" s="20" t="s">
        <v>590</v>
      </c>
      <c r="V10" s="20" t="s">
        <v>591</v>
      </c>
      <c r="W10"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Strength is represented by the Zodiac sign Libra and symbol ♎️.The element of Fire. It has a Masculine quality and is associated with the color Red and the direction of South. This sign is represented by the Lion, Cat, Tiger, and Serpent and the stone(s) of Cat's eye. The Astrological influence is Sun .</v>
      </c>
      <c r="X10" s="20" t="s">
        <v>667</v>
      </c>
      <c r="Y10" s="20" t="s">
        <v>701</v>
      </c>
      <c r="Z10" s="20" t="s">
        <v>702</v>
      </c>
      <c r="AA10" s="20" t="s">
        <v>703</v>
      </c>
      <c r="AB10" s="20" t="s">
        <v>704</v>
      </c>
    </row>
    <row r="11" spans="1:28" ht="134.25" customHeight="1" x14ac:dyDescent="0.25">
      <c r="A11" s="2" t="s">
        <v>2</v>
      </c>
      <c r="B11" s="21" t="s">
        <v>807</v>
      </c>
      <c r="C11" s="20" t="s">
        <v>523</v>
      </c>
      <c r="D11" s="20"/>
      <c r="E11" s="28" t="s">
        <v>13</v>
      </c>
      <c r="F11" s="20" t="s">
        <v>13</v>
      </c>
      <c r="G11" s="22" t="str">
        <f>_xlfn.CONCAT(Table1[[#This Row],[Numerical value]]," is the value of the ",Table1[[#This Row],[Card Name]],". The ",Table1[[#This Row],[Card Name]]," is a ",Table1[[#This Row],[Group Representation]],".  The ", Table1[[#This Row],[Card Name]]," is the card of ",Table1[[#This Row],[Indicitive of]],".  ",Table1[[#This Row],[Radiant Wise Description]])</f>
        <v>9 is the value of the Hermit. The Hermit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Hermit is the card of Inner quest.  The Hermit emerges from his cave to shine the light of knowledge to those below with eyes to see it.  He reminds you of your ability to inspire others with your presence, actions, and deeds.  His lantern contains the six pointed start, two triangles reflecting the intersection of heaven and earth.  The Hermis's beard denotes wisdom and age and willingness to learn from mistakes and harvest all life experiences. Purposful isolation and withdrawl. Meditation and contemplation. Spirituality.  Intimate, individual experience.  Soul voyage. Internal eyes. A beacon for others.</v>
      </c>
      <c r="H11" s="27" t="s">
        <v>224</v>
      </c>
      <c r="I11" s="20" t="s">
        <v>297</v>
      </c>
      <c r="J11" s="20" t="s">
        <v>379</v>
      </c>
      <c r="K11" s="20" t="s">
        <v>56</v>
      </c>
      <c r="L11" s="20" t="s">
        <v>56</v>
      </c>
      <c r="M11"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9 of Hermit is the card of Solitude, guidance, soul-searching, introspection, being alone, inner guidance, wisdom. The Hermit card´s suit is the suit of the Hermit. The card of Hermit is indicitive of Inner quest. The Hermit Inner quest The Hermit emerges from his cave to shine the light of knowledge to those below with eyes to see it.  He reminds you of your ability to inspire others with your presence, actions, and deeds.  His lantern contains the six pointed start, two triangles reflecting the intersection of heaven and earth.  The Hermis's beard denotes wisdom and age and willingness to learn from mistakes and harvest all life experiences. Purposful isolation and withdrawl. Meditation and contemplation. Spirituality.  Intimate, individual experience.  Soul voyage. Internal eyes. A beacon for others.  The divine message to be found in this card is:  ",[@[Divinatory Meaning]],".</v>
      </c>
      <c r="N11" s="21">
        <v>9</v>
      </c>
      <c r="O11" s="20" t="s">
        <v>443</v>
      </c>
      <c r="P11" s="20" t="s">
        <v>557</v>
      </c>
      <c r="Q11" s="20" t="s">
        <v>556</v>
      </c>
      <c r="R11" s="20" t="s">
        <v>567</v>
      </c>
      <c r="S11" s="20" t="s">
        <v>592</v>
      </c>
      <c r="T11" s="20"/>
      <c r="U11" s="20" t="s">
        <v>599</v>
      </c>
      <c r="V11" s="20" t="s">
        <v>600</v>
      </c>
      <c r="W11"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Hermit is represented by the Zodiac sign Virgo and symbol ♍️.The element of Earth. It has a Masculine quality and is associated with the color White and the direction of North. This sign is represented by the - and the stone(s) of Peridot. The Astrological influence is Mercury .</v>
      </c>
      <c r="X11" s="20" t="s">
        <v>705</v>
      </c>
      <c r="Y11" s="20" t="s">
        <v>554</v>
      </c>
      <c r="Z11" s="20" t="s">
        <v>706</v>
      </c>
      <c r="AA11" s="20" t="s">
        <v>707</v>
      </c>
      <c r="AB11" s="20" t="s">
        <v>708</v>
      </c>
    </row>
    <row r="12" spans="1:28" ht="134.25" customHeight="1" x14ac:dyDescent="0.25">
      <c r="A12" s="2" t="s">
        <v>2</v>
      </c>
      <c r="B12" s="21" t="s">
        <v>807</v>
      </c>
      <c r="C12" s="20" t="s">
        <v>524</v>
      </c>
      <c r="D12" s="20"/>
      <c r="E12" s="28" t="s">
        <v>14</v>
      </c>
      <c r="F12" s="20" t="s">
        <v>14</v>
      </c>
      <c r="G12" s="22" t="str">
        <f>_xlfn.CONCAT(Table1[[#This Row],[Numerical value]]," is the value of the ",Table1[[#This Row],[Card Name]],". The ",Table1[[#This Row],[Card Name]]," is a ",Table1[[#This Row],[Group Representation]],".  The ", Table1[[#This Row],[Card Name]]," is the card of ",Table1[[#This Row],[Indicitive of]],".  ",Table1[[#This Row],[Radiant Wise Description]])</f>
        <v>10 is the value of the Wheel of Fortune. The Wheel of Fortune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Wheel of Fortune is the card of Expansion, Luck.  The universal and spiritual world in a constant state of flux.  Clouds in the corners of the card reflect manifestation while th ecreatures on the corners reflect the four elements and the four cardinal directions. The spokes of the wheel carry alchemical sysmbols; mercury, sulfur, and salt and the astrological sign for Aquarius, while the Latin word for "wheel," rota is inscribed.  Life in an ever-changing state.  Keep your eyes in the center, find a steady focal point to keep you grounded no matter what life throws at you.  Ancient symbol of fate, fortune and destiny.  Forces of time and space.  Energy and motion.  Life cycles, ups and downs.</v>
      </c>
      <c r="H12" s="27" t="s">
        <v>225</v>
      </c>
      <c r="I12" s="20" t="s">
        <v>298</v>
      </c>
      <c r="J12" s="20" t="s">
        <v>380</v>
      </c>
      <c r="K12" s="20" t="s">
        <v>57</v>
      </c>
      <c r="L12" s="20" t="s">
        <v>57</v>
      </c>
      <c r="M12"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10 of Wheel of Fortune is the card of Good luck, destiny, good fortune, cycles. The Wheel of Fortune card´s suit is the suit of the Wheel of Fortune. The card of Wheel of Fortune is indicitive of Expansion, Luck. The Wheel of Fortune Expansion, Luck The universal and spiritual world in a constant state of flux.  Clouds in the corners of the card reflect manifestation while th ecreatures on the corners reflect the four elements and the four cardinal directions. The spokes of the wheel carry alchemical sysmbols; mercury, sulfur, and salt and the astrological sign for Aquarius, while the Latin word for "wheel," rota is inscribed.  Life in an ever-changing state.  Keep your eyes in the center, find a steady focal point to keep you grounded no matter what life throws at you.  Ancient symbol of fate, fortune and destiny.  Forces of time and space.  Energy and motion.  Life cycles, ups and downs.  The divine message to be found in this card is:  ",[@[Divinatory Meaning]],".</v>
      </c>
      <c r="N12" s="21">
        <v>10</v>
      </c>
      <c r="O12" s="20" t="s">
        <v>444</v>
      </c>
      <c r="P12" s="20" t="s">
        <v>549</v>
      </c>
      <c r="Q12" s="20" t="s">
        <v>568</v>
      </c>
      <c r="R12" s="20" t="s">
        <v>824</v>
      </c>
      <c r="S12" s="20" t="s">
        <v>602</v>
      </c>
      <c r="T12" s="20"/>
      <c r="U12" s="20" t="s">
        <v>590</v>
      </c>
      <c r="V12" s="20" t="s">
        <v>591</v>
      </c>
      <c r="W12"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Wheel of Fortune is represented by the Zodiac sign Taurus, Scorpio, Leo, and Aquarius and symbol ♉ ♏ ♌ ♒.The element of Fire. It has a Masculine quality and is associated with the color Red and the direction of South. This sign is represented by the Eagle and the stone(s) of Amethyst and Lapis Lazuli. The Astrological influence is Jupiter .</v>
      </c>
      <c r="X12" s="20" t="s">
        <v>667</v>
      </c>
      <c r="Y12" s="20" t="s">
        <v>709</v>
      </c>
      <c r="Z12" s="20" t="s">
        <v>710</v>
      </c>
      <c r="AA12" s="20" t="s">
        <v>711</v>
      </c>
      <c r="AB12" s="20" t="s">
        <v>712</v>
      </c>
    </row>
    <row r="13" spans="1:28" ht="134.25" customHeight="1" x14ac:dyDescent="0.25">
      <c r="A13" s="2" t="s">
        <v>2</v>
      </c>
      <c r="B13" s="21" t="s">
        <v>807</v>
      </c>
      <c r="C13" s="20" t="s">
        <v>525</v>
      </c>
      <c r="D13" s="20"/>
      <c r="E13" s="28" t="s">
        <v>156</v>
      </c>
      <c r="F13" s="20" t="s">
        <v>537</v>
      </c>
      <c r="G13" s="22" t="str">
        <f>_xlfn.CONCAT(Table1[[#This Row],[Numerical value]]," is the value of the ",Table1[[#This Row],[Card Name]],". The ",Table1[[#This Row],[Card Name]]," is a ",Table1[[#This Row],[Group Representation]],".  The ", Table1[[#This Row],[Card Name]]," is the card of ",Table1[[#This Row],[Indicitive of]],".  ",Table1[[#This Row],[Radiant Wise Description]])</f>
        <v>11 is the value of the Justice. The Justice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Justice is the card of Truth - Lust for Life.  Justice sits between dual pillars like the High Priestess and Heirophant.  This invokes the graphic pillars on the Tree of Life.  It reflects balance and integration.  The scales of Libra are held in the left hand while the right hand holds the sword of clarity and articulation.  The jewel in the center of Justices's crown reflects higher consciousness and the ability to seek truth.  The figure wears no blindfold and sees all.  Effective decisions are made.  Moral codes are explored and value judgements are cast.  What is important to you?  Societal laws, courts, and public justice.  Making judgments about yourself and others.  Work and the effort you put in responds in the results you receive.</v>
      </c>
      <c r="H13" s="27" t="s">
        <v>226</v>
      </c>
      <c r="I13" s="20" t="s">
        <v>299</v>
      </c>
      <c r="J13" s="20" t="s">
        <v>381</v>
      </c>
      <c r="K13" s="20" t="s">
        <v>58</v>
      </c>
      <c r="L13" s="20" t="s">
        <v>58</v>
      </c>
      <c r="M13"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11 of Justice, Adjustment is the card of Justice, honesty, fairness, law. The Justice card´s suit is the suit of the Justice, Adjustment. The card of Justice is indicitive of Truth - Lust for Life. The Justice Truth - Lust for Life Justice sits between dual pillars like the High Priestess and Heirophant.  This invokes the graphic pillars on the Tree of Life.  It reflects balance and integration.  The scales of Libra are held in the left hand while the right hand holds the sword of clarity and articulation.  The jewel in the center of Justices's crown reflects higher consciousness and the ability to seek truth.  The figure wears no blindfold and sees all.  Effective decisions are made.  Moral codes are explored and value judgements are cast.  What is important to you?  Societal laws, courts, and public justice.  Making judgments about yourself and others.  Work and the effort you put in responds in the results you receive.  The divine message to be found in this card is:  ",[@[Divinatory Meaning]],".</v>
      </c>
      <c r="N13" s="21">
        <v>11</v>
      </c>
      <c r="O13" s="20" t="s">
        <v>445</v>
      </c>
      <c r="P13" s="20" t="s">
        <v>552</v>
      </c>
      <c r="Q13" s="20" t="s">
        <v>565</v>
      </c>
      <c r="R13" s="20" t="s">
        <v>566</v>
      </c>
      <c r="S13" s="20" t="s">
        <v>598</v>
      </c>
      <c r="T13" s="20"/>
      <c r="U13" s="20" t="s">
        <v>593</v>
      </c>
      <c r="V13" s="20" t="s">
        <v>594</v>
      </c>
      <c r="W13"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Justice is represented by the Zodiac sign Libra and symbol ♎️.The element of Air. It has a Masculine quality and is associated with the color Yellow and the direction of East. This sign is represented by the Elephant, and Spider and the stone(s) of Emerald. The Astrological influence is Venus .</v>
      </c>
      <c r="X13" s="20" t="s">
        <v>713</v>
      </c>
      <c r="Y13" s="20" t="s">
        <v>714</v>
      </c>
      <c r="Z13" s="20" t="s">
        <v>715</v>
      </c>
      <c r="AA13" s="20" t="s">
        <v>716</v>
      </c>
      <c r="AB13" s="20" t="s">
        <v>717</v>
      </c>
    </row>
    <row r="14" spans="1:28" ht="134.25" customHeight="1" x14ac:dyDescent="0.25">
      <c r="A14" s="2" t="s">
        <v>2</v>
      </c>
      <c r="B14" s="21" t="s">
        <v>807</v>
      </c>
      <c r="C14" s="20" t="s">
        <v>526</v>
      </c>
      <c r="D14" s="20"/>
      <c r="E14" s="28" t="s">
        <v>15</v>
      </c>
      <c r="F14" s="20" t="s">
        <v>15</v>
      </c>
      <c r="G14" s="22" t="str">
        <f>_xlfn.CONCAT(Table1[[#This Row],[Numerical value]]," is the value of the ",Table1[[#This Row],[Card Name]],". The ",Table1[[#This Row],[Card Name]]," is a ",Table1[[#This Row],[Group Representation]],".  The ", Table1[[#This Row],[Card Name]]," is the card of ",Table1[[#This Row],[Indicitive of]],".  ",Table1[[#This Row],[Radiant Wise Description]])</f>
        <v>12 is the value of the Hanged Man. The Hanged Man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Hanged Man is the card of Stuck, Surrender.  Stasis and limbo used as an opportunity to see situation from a new vantage point.  A nimbus appears around his head denoting the supernatural power of saints and holy figures.  The secret of immanence in coded into the card.  It is the sacred and devine nature flickering and fourishing inside every molecule, grain of sand, blade of grass, and creature of earth.  The hanged man's eyes observes sacred energy.  His life is transformed forever.  Surrender to circumstances.  A moment's pause that is worthy and useful.  The  yogic inversion and all its lessons.  Wisdom and introspection toward the outer world.  The solitary path we all walk upon.</v>
      </c>
      <c r="H14" s="27" t="s">
        <v>227</v>
      </c>
      <c r="I14" s="20" t="s">
        <v>300</v>
      </c>
      <c r="J14" s="20" t="s">
        <v>382</v>
      </c>
      <c r="K14" s="20" t="s">
        <v>59</v>
      </c>
      <c r="L14" s="20" t="s">
        <v>59</v>
      </c>
      <c r="M14"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12 of Hanged Man is the card of New perspective, just hanging in there, sacrifice for a higher cause, confinement, spiritual growth. The Hanged Man card´s suit is the suit of the Hanged Man. The card of Hanged Man is indicitive of Stuck, Surrender. The Hanged Man Stuck, Surrender Stasis and limbo used as an opportunity to see situation from a new vantage point.  A nimbus appears around his head denoting the supernatural power of saints and holy figures.  The secret of immanence in coded into the card.  It is the sacred and devine nature flickering and fourishing inside every molecule, grain of sand, blade of grass, and creature of earth.  The hanged man's eyes observes sacred energy.  His life is transformed forever.  Surrender to circumstances.  A moment's pause that is worthy and useful.  The  yogic inversion and all its lessons.  Wisdom and introspection toward the outer world.  The solitary path we all walk upon.  The divine message to be found in this card is:  ",[@[Divinatory Meaning]],".</v>
      </c>
      <c r="N14" s="21">
        <v>12</v>
      </c>
      <c r="O14" s="20" t="s">
        <v>446</v>
      </c>
      <c r="P14" s="20" t="s">
        <v>569</v>
      </c>
      <c r="Q14" s="20" t="s">
        <v>570</v>
      </c>
      <c r="R14" s="20" t="s">
        <v>818</v>
      </c>
      <c r="S14" s="20" t="s">
        <v>603</v>
      </c>
      <c r="T14" s="20"/>
      <c r="U14" s="20" t="s">
        <v>596</v>
      </c>
      <c r="V14" s="20" t="s">
        <v>597</v>
      </c>
      <c r="W14"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Hanged Man is represented by the Zodiac sign Pices and symbol ♓.The element of Water. It has a Masculine quality and is associated with the color Black and the direction of West. This sign is represented by the Eagle, Snake, and Scorpion and the stone(s) of Beryl and Aquamarine. The Astrological influence is Neptune .</v>
      </c>
      <c r="X14" s="20" t="s">
        <v>705</v>
      </c>
      <c r="Y14" s="20" t="s">
        <v>718</v>
      </c>
      <c r="Z14" s="20" t="s">
        <v>719</v>
      </c>
      <c r="AA14" s="20" t="s">
        <v>720</v>
      </c>
      <c r="AB14" s="20" t="s">
        <v>721</v>
      </c>
    </row>
    <row r="15" spans="1:28" ht="134.25" customHeight="1" x14ac:dyDescent="0.25">
      <c r="A15" s="2" t="s">
        <v>2</v>
      </c>
      <c r="B15" s="21" t="s">
        <v>807</v>
      </c>
      <c r="C15" s="20" t="s">
        <v>527</v>
      </c>
      <c r="D15" s="20"/>
      <c r="E15" s="28" t="s">
        <v>16</v>
      </c>
      <c r="F15" s="20" t="s">
        <v>16</v>
      </c>
      <c r="G15" s="22" t="str">
        <f>_xlfn.CONCAT(Table1[[#This Row],[Numerical value]]," is the value of the ",Table1[[#This Row],[Card Name]],". The ",Table1[[#This Row],[Card Name]]," is a ",Table1[[#This Row],[Group Representation]],".  The ", Table1[[#This Row],[Card Name]]," is the card of ",Table1[[#This Row],[Indicitive of]],".  ",Table1[[#This Row],[Radiant Wise Description]])</f>
        <v>13 is the value of the Death. The Death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Death is the card of Ending, Transformation.  Death moves across a field with a slow and steady march.  A king lay dead.  He represents old systems of order tossed aside. A bishop begs for mercy, a maiden turns away in fear and only a curious child looks up to greet Death.  She has not been taugh to fear death.  A ship sails in the distance oblivious to the death march.  A sun rises between two towers to reflect resurrection and new beginnings.  All ending make way for fresh possibility.  Transformation leading to renewal and growth.  Transition.  Underworld. Flux.  Occultism.  Letting things go. Evolution requiring release.  Metaphorical death.</v>
      </c>
      <c r="H15" s="27" t="s">
        <v>228</v>
      </c>
      <c r="I15" s="20" t="s">
        <v>301</v>
      </c>
      <c r="J15" s="20" t="s">
        <v>383</v>
      </c>
      <c r="K15" s="20" t="s">
        <v>60</v>
      </c>
      <c r="L15" s="20" t="s">
        <v>60</v>
      </c>
      <c r="M15"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13 of Death is the card of Change, transformation, transition, ending, new start. The Death card´s suit is the suit of the Death. The card of Death is indicitive of Ending, Transformation. The Death Ending, Transformation Death moves across a field with a slow and steady march.  A king lay dead.  He represents old systems of order tossed aside. A bishop begs for mercy, a maiden turns away in fear and only a curious child looks up to greet Death.  She has not been taugh to fear death.  A ship sails in the distance oblivious to the death march.  A sun rises between two towers to reflect resurrection and new beginnings.  All ending make way for fresh possibility.  Transformation leading to renewal and growth.  Transition.  Underworld. Flux.  Occultism.  Letting things go. Evolution requiring release.  Metaphorical death.  The divine message to be found in this card is:  ",[@[Divinatory Meaning]],".</v>
      </c>
      <c r="N15" s="21">
        <v>13</v>
      </c>
      <c r="O15" s="20" t="s">
        <v>447</v>
      </c>
      <c r="P15" s="20" t="s">
        <v>569</v>
      </c>
      <c r="Q15" s="20" t="s">
        <v>571</v>
      </c>
      <c r="R15" s="20" t="s">
        <v>572</v>
      </c>
      <c r="S15" s="20" t="s">
        <v>604</v>
      </c>
      <c r="T15" s="20"/>
      <c r="U15" s="20" t="s">
        <v>596</v>
      </c>
      <c r="V15" s="20" t="s">
        <v>597</v>
      </c>
      <c r="W15"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Death is represented by the Zodiac sign Scorpio and symbol ♏️.The element of Water. It has a Masculine quality and is associated with the color Black and the direction of West. This sign is represented by the Scorpio, beetle, crayfish, lobster, and wolf and the stone(s) of Snakestone. The Astrological influence is Pluto .</v>
      </c>
      <c r="X15" s="20" t="s">
        <v>722</v>
      </c>
      <c r="Y15" s="20" t="s">
        <v>723</v>
      </c>
      <c r="Z15" s="20" t="s">
        <v>724</v>
      </c>
      <c r="AA15" s="20" t="s">
        <v>725</v>
      </c>
      <c r="AB15" s="20" t="s">
        <v>726</v>
      </c>
    </row>
    <row r="16" spans="1:28" ht="134.25" customHeight="1" x14ac:dyDescent="0.25">
      <c r="A16" s="2" t="s">
        <v>2</v>
      </c>
      <c r="B16" s="21" t="s">
        <v>807</v>
      </c>
      <c r="C16" s="20" t="s">
        <v>528</v>
      </c>
      <c r="D16" s="20"/>
      <c r="E16" s="28" t="s">
        <v>538</v>
      </c>
      <c r="F16" s="20" t="s">
        <v>538</v>
      </c>
      <c r="G16"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14 is the value of the Temperance. The Temperance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Temperance is the card of Artistic creativity.   Archangel Gabriel the messenger Angel is depicted on the card He bears the sign of the sun on his forehead. It is also the alchemist's symbol of gold. Temperance and the moon card balance each other. Each has a pool and path under different circumstances. Discard reflects the change of the seasons in the embrace of new ideas. Temper is the act of repetition to invoke skill or to revise something , make sharper like a sword. Alchemy . Blending in harmonizing oppositional forces and concepts. Holding opposing ideas and fostering complexity in life. Producing evolution. </v>
      </c>
      <c r="H16" s="27" t="s">
        <v>229</v>
      </c>
      <c r="I16" s="20" t="s">
        <v>302</v>
      </c>
      <c r="J16" s="20" t="s">
        <v>384</v>
      </c>
      <c r="K16" s="20" t="s">
        <v>61</v>
      </c>
      <c r="L16" s="20" t="s">
        <v>61</v>
      </c>
      <c r="M16"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14 of Temperance is the card of Balance, Moderation, Middle path. The Temperance card´s suit is the suit of the Temperance. The card of Temperance is indicitive of Artistic creativity. The Temperance Artistic creativity  Archangel Gabriel the messenger Angel is depicted on the card He bears the sign of the sun on his forehead. It is also the alchemist's symbol of gold. Temperance and the moon card balance each other. Each has a pool and path under different circumstances. Discard reflects the change of the seasons in the embrace of new ideas. Temper is the act of repetition to invoke skill or to revise something , make sharper like a sword. Alchemy . Blending in harmonizing oppositional forces and concepts. Holding opposing ideas and fostering complexity in life. Producing evolution.   The divine message to be found in this card is:  ",[@[Divinatory Meaning]],".</v>
      </c>
      <c r="N16" s="21">
        <v>14</v>
      </c>
      <c r="O16" s="20" t="s">
        <v>448</v>
      </c>
      <c r="P16" s="20" t="s">
        <v>573</v>
      </c>
      <c r="Q16" s="20" t="s">
        <v>574</v>
      </c>
      <c r="R16" s="20" t="s">
        <v>575</v>
      </c>
      <c r="S16" s="20" t="s">
        <v>602</v>
      </c>
      <c r="T16" s="20"/>
      <c r="U16" s="20" t="s">
        <v>590</v>
      </c>
      <c r="V16" s="20" t="s">
        <v>591</v>
      </c>
      <c r="W16"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Temperance is represented by the Zodiac sign Sagitarius and symbol ♐️.The element of FIre. It has a Masculine quality and is associated with the color Red and the direction of South. This sign is represented by the Dog, Horse, Centaur, and Hippogriff and the stone(s) of Jacinth. The Astrological influence is Jupiter .</v>
      </c>
      <c r="X16" s="20" t="s">
        <v>667</v>
      </c>
      <c r="Y16" s="20" t="s">
        <v>727</v>
      </c>
      <c r="Z16" s="20" t="s">
        <v>728</v>
      </c>
      <c r="AA16" s="20" t="s">
        <v>729</v>
      </c>
      <c r="AB16" s="20" t="s">
        <v>730</v>
      </c>
    </row>
    <row r="17" spans="1:28" ht="134.25" customHeight="1" x14ac:dyDescent="0.25">
      <c r="A17" s="2" t="s">
        <v>2</v>
      </c>
      <c r="B17" s="21" t="s">
        <v>807</v>
      </c>
      <c r="C17" s="20" t="s">
        <v>529</v>
      </c>
      <c r="D17" s="20"/>
      <c r="E17" s="28" t="s">
        <v>180</v>
      </c>
      <c r="F17" s="20" t="s">
        <v>539</v>
      </c>
      <c r="G17"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15 is the value of the 4 Devil. The 4 Devil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4 Devil is the card of Confusion, deceit.  The devil is historically used as the external symbol of fear and corruption. The devil is also the individual's inner symbol of the shadow of self which is all repressed . Are repressed desires and emotional blindspots inform our actions, reactions, and life path. It is only by confronting the devil archetype inside you, which is to say, having the guts and bravery to shine the light into your own darkness that one can truly be set free. When the devil card appears in your reading, take an honest look at the things you usually hide away inside yourself. Be brave and honest to unfold new pathways of possibility and set yourself free from inauthentic and destructive behavior. Shadow cell. Addiction and obsession. Wasting time and energy. Greed and overindulgence. No limits. Controlling others. Building the ego. Scapegoating others and not taking responsibility for one's own actions. A rip roaring good time but the inability to reign it in and impose limits to personal impulses. Repressed desires governing behavior .  </v>
      </c>
      <c r="H17" s="27" t="s">
        <v>230</v>
      </c>
      <c r="I17" s="20" t="s">
        <v>303</v>
      </c>
      <c r="J17" s="20" t="s">
        <v>385</v>
      </c>
      <c r="K17" s="20" t="s">
        <v>62</v>
      </c>
      <c r="L17" s="20" t="s">
        <v>62</v>
      </c>
      <c r="M17"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15 of Devil is the card of Addiction, restriction, materialism, temptations. The 4 Devil card´s suit is the suit of the Devil. The card of 4 Devil is indicitive of Confusion, deceit. The 4 Devil Confusion, deceit The devil is historically used as the external symbol of fear and corruption. The devil is also the individual's inner symbol of the shadow of self which is all repressed . Are repressed desires and emotional blindspots inform our actions, reactions, and life path. It is only by confronting the devil archetype inside you, which is to say, having the guts and bravery to shine the light into your own darkness that one can truly be set free. When the devil card appears in your reading, take an honest look at the things you usually hide away inside yourself. Be brave and honest to unfold new pathways of possibility and set yourself free from inauthentic and destructive behavior. Shadow cell. Addiction and obsession. Wasting time and energy. Greed and overindulgence. No limits. Controlling others. Building the ego. Scapegoating others and not taking responsibility for one's own actions. A rip roaring good time but the inability to reign it in and impose limits to personal impulses. Repressed desires governing behavior .    The divine message to be found in this card is:  ",[@[Divinatory Meaning]],".</v>
      </c>
      <c r="N17" s="21">
        <v>15</v>
      </c>
      <c r="O17" s="20" t="s">
        <v>449</v>
      </c>
      <c r="P17" s="20" t="s">
        <v>557</v>
      </c>
      <c r="Q17" s="20" t="s">
        <v>576</v>
      </c>
      <c r="R17" s="20" t="s">
        <v>577</v>
      </c>
      <c r="S17" s="20" t="s">
        <v>605</v>
      </c>
      <c r="T17" s="20"/>
      <c r="U17" s="20" t="s">
        <v>599</v>
      </c>
      <c r="V17" s="20" t="s">
        <v>600</v>
      </c>
      <c r="W17"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4 Devil is represented by the Zodiac sign Capricorn and symbol ♑️.The element of Earth. It has a Masculine quality and is associated with the color White and the direction of North. This sign is represented by the Goat, Ass, and Oyster and the stone(s) of Black Diamond. The Astrological influence is Saturn .</v>
      </c>
      <c r="X17" s="20" t="s">
        <v>722</v>
      </c>
      <c r="Y17" s="20" t="s">
        <v>731</v>
      </c>
      <c r="Z17" s="20" t="s">
        <v>732</v>
      </c>
      <c r="AA17" s="20" t="s">
        <v>733</v>
      </c>
      <c r="AB17" s="20" t="s">
        <v>734</v>
      </c>
    </row>
    <row r="18" spans="1:28" ht="134.25" customHeight="1" x14ac:dyDescent="0.25">
      <c r="A18" s="2" t="s">
        <v>2</v>
      </c>
      <c r="B18" s="21" t="s">
        <v>807</v>
      </c>
      <c r="C18" s="20" t="s">
        <v>530</v>
      </c>
      <c r="D18" s="20"/>
      <c r="E18" s="28" t="s">
        <v>17</v>
      </c>
      <c r="F18" s="20" t="s">
        <v>17</v>
      </c>
      <c r="G18"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16 is the value of the Tower. The Tower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Tower is the card of Radical change.  The key to the tower card lay in the crown blown off the tip of the tower . The circular crown never fit the square tower. It may be your situation never fit it may be years old and move past your correct circumstance. We all out we've all out grown things what's essential for us. The key lay in weathering the storm and shedding the snakeskin when it is time to move on, assert yourself, or take the steps you need to take. This is why the toughest, scariest cards come near the end of the major arcana . It is only through facing the tough stuff that we may taste the sweet nectar of growth and evolution. Ruin, collapse, and release. Flash of brilliance. Bolts illusions shattered. Destruction of what was never meant to be. Change can frighten us even when what is being destroyed Is not good for us. It was our comfort, inside the discomfort that made us think we needed it.  </v>
      </c>
      <c r="H18" s="27" t="s">
        <v>231</v>
      </c>
      <c r="I18" s="20" t="s">
        <v>304</v>
      </c>
      <c r="J18" s="20" t="s">
        <v>386</v>
      </c>
      <c r="K18" s="20" t="s">
        <v>63</v>
      </c>
      <c r="L18" s="20" t="s">
        <v>136</v>
      </c>
      <c r="M18"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16 of Tower is the card of Destruction, chaos, upheaval, awakening, sudden change. The Tower card´s suit is the suit of the Tower. The card of Tower is indicitive of Radical change. The Tower Radical change, ruin, destruction, everything negative. The key to the tower card lay in the crown blown off the tip of the tower . The circular crown never fit the square tower. It may be your situation never fit it may be years old and move past your correct circumstance. We all out we've all out grown things what's essential for us. The key lay in weathering the storm and shedding the snakeskin when it is time to move on, assert yourself, or take the steps you need to take. This is why the toughest, scariest cards come near the end of the major arcana . It is only through facing the tough stuff that we may taste the sweet nectar of growth and evolution. Ruin, collapse, and release. Flash of brilliance. Bolts illusions shattered. Destruction of what was never meant to be. Change can frighten us even when what is being destroyed Is not good for us. It was our comfort, inside the discomfort that made us think we needed it.    The divine message to be found in this card is:  ",[@[Divinatory Meaning]],".</v>
      </c>
      <c r="N18" s="21">
        <v>16</v>
      </c>
      <c r="O18" s="20" t="s">
        <v>450</v>
      </c>
      <c r="P18" s="20" t="s">
        <v>549</v>
      </c>
      <c r="Q18" s="20" t="s">
        <v>553</v>
      </c>
      <c r="R18" s="20" t="s">
        <v>816</v>
      </c>
      <c r="S18" s="20" t="s">
        <v>601</v>
      </c>
      <c r="T18" s="20"/>
      <c r="U18" s="20" t="s">
        <v>590</v>
      </c>
      <c r="V18" s="20" t="s">
        <v>591</v>
      </c>
      <c r="W18"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Tower is represented by the Zodiac sign Aries and symbol ♈.The element of Fire. It has a Masculine quality and is associated with the color Red and the direction of South. This sign is represented by the Horse, bear, wolf, and boar and the stone(s) of Ruby or any red stone. The Astrological influence is Mars .</v>
      </c>
      <c r="X18" s="20" t="s">
        <v>722</v>
      </c>
      <c r="Y18" s="20" t="s">
        <v>735</v>
      </c>
      <c r="Z18" s="20" t="s">
        <v>736</v>
      </c>
      <c r="AA18" s="20" t="s">
        <v>737</v>
      </c>
      <c r="AB18" s="20" t="s">
        <v>738</v>
      </c>
    </row>
    <row r="19" spans="1:28" ht="134.25" customHeight="1" x14ac:dyDescent="0.25">
      <c r="A19" s="2" t="s">
        <v>2</v>
      </c>
      <c r="B19" s="21" t="s">
        <v>807</v>
      </c>
      <c r="C19" s="20" t="s">
        <v>531</v>
      </c>
      <c r="D19" s="20"/>
      <c r="E19" s="28" t="s">
        <v>18</v>
      </c>
      <c r="F19" s="20" t="s">
        <v>18</v>
      </c>
      <c r="G19"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17 is the value of the Star. The Star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Star is the card of Self-realization, healing.  The calm after the storm. Healing and renewal. Ultimate piece yet active not passive. Creative inspiration. Invoking the muse. Clarity and vision. The star appears after the tumultuous Devil and tower card. The star brings a calm and serenity feeling like the tempest has passed. The thunder and rain are gone. It is the clarity of a good cry, and emotional breakthrough, and the ultimate sense that everything will be OK. The star is also the card of direct communication with the muse.  It is an especially important card for writers and artists. This is the archetype of inspiration. The females figure is nude, implying vulnerability, and openness. Her freely flowing waters imply openness. The bird in the tree offer spirit communication. The stars above are a million bright, shining signs, galaxies of hope and possibility.           </v>
      </c>
      <c r="H19" s="27" t="s">
        <v>232</v>
      </c>
      <c r="I19" s="20" t="s">
        <v>305</v>
      </c>
      <c r="J19" s="20" t="s">
        <v>387</v>
      </c>
      <c r="K19" s="20" t="s">
        <v>64</v>
      </c>
      <c r="L19" s="20" t="s">
        <v>64</v>
      </c>
      <c r="M19"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17 of Star is the card of Hope, direction, a path to follow, renewal. The Star card´s suit is the suit of the Star. The card of Star is indicitive of Self-realization, healing. The Star Self-realization, healing The calm after the storm. Healing and renewal. Ultimate piece yet active not passive. Creative inspiration. Invoking the muse. Clarity and vision. The star appears after the tumultuous Devil and tower card. The star brings a calm and serenity feeling like the tempest has passed. The thunder and rain are gone. It is the clarity of a good cry, and emotional breakthrough, and the ultimate sense that everything will be OK. The star is also the card of direct communication with the muse.  It is an especially important card for writers and artists. This is the archetype of inspiration. The females figure is nude, implying vulnerability, and openness. Her freely flowing waters imply openness. The bird in the tree offer spirit communication. The stars above are a million bright, shining signs, galaxies of hope and possibility.             The divine message to be found in this card is:  ",[@[Divinatory Meaning]],".</v>
      </c>
      <c r="N19" s="21">
        <v>17</v>
      </c>
      <c r="O19" s="20" t="s">
        <v>451</v>
      </c>
      <c r="P19" s="20" t="s">
        <v>552</v>
      </c>
      <c r="Q19" s="20" t="s">
        <v>550</v>
      </c>
      <c r="R19" s="20" t="s">
        <v>825</v>
      </c>
      <c r="S19" s="20" t="s">
        <v>588</v>
      </c>
      <c r="T19" s="20"/>
      <c r="U19" s="20" t="s">
        <v>593</v>
      </c>
      <c r="V19" s="20" t="s">
        <v>594</v>
      </c>
      <c r="W19"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Star is represented by the Zodiac sign Aquarius and symbol ♒.The element of Air. It has a Masculine quality and is associated with the color Yellow and the direction of East. This sign is represented by the Eagle and Peacock and the stone(s) of Artificial Glass. The Astrological influence is Uranus .</v>
      </c>
      <c r="X19" s="20" t="s">
        <v>667</v>
      </c>
      <c r="Y19" s="20" t="s">
        <v>739</v>
      </c>
      <c r="Z19" s="20" t="s">
        <v>740</v>
      </c>
      <c r="AA19" s="20" t="s">
        <v>741</v>
      </c>
      <c r="AB19" s="20" t="s">
        <v>742</v>
      </c>
    </row>
    <row r="20" spans="1:28" ht="134.25" customHeight="1" x14ac:dyDescent="0.25">
      <c r="A20" s="2" t="s">
        <v>2</v>
      </c>
      <c r="B20" s="21" t="s">
        <v>807</v>
      </c>
      <c r="C20" s="20" t="s">
        <v>532</v>
      </c>
      <c r="D20" s="20"/>
      <c r="E20" s="28" t="s">
        <v>540</v>
      </c>
      <c r="F20" s="20" t="s">
        <v>540</v>
      </c>
      <c r="G20"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18 is the value of the Moon. The Moon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Moon is the card of Evolution, gradual change.  Dreams and psychic activities. Strange rumblings. Something inside you longs to be seen. Subconscious bears fruit. Supernatural experience. Intuition overload. Uncanny feelings. Opening to the cyclical nature of life. Learning to adapt to the ever-changing nature can be difficult when we want to stay inside our comfort zone. Yet, learning to move with life’s ebbs and flows, aligning oneself with the cyclical nature of the moon help us ride life‘s ups and downs. Energy cycles around yet you cultivate the ability to stay centered. The crawfish emerging from the pool is a piece of your unconscious ready to be seen. It is ready to take on form and shape in the material world. The dog and wolf reflect the push and pull of our animal and bass in stinks. The two towers are indicative of the dual polarities we exist between, always shifting and evolving. The path between the mountains is the road you will travel. </v>
      </c>
      <c r="H20" s="27" t="s">
        <v>233</v>
      </c>
      <c r="I20" s="20" t="s">
        <v>306</v>
      </c>
      <c r="J20" s="20" t="s">
        <v>388</v>
      </c>
      <c r="K20" s="20" t="s">
        <v>65</v>
      </c>
      <c r="L20" s="20" t="s">
        <v>65</v>
      </c>
      <c r="M20"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18 of Moon is the card of Anxiety, fear, illusion, subconscious. The Moon card´s suit is the suit of the Moon. The card of Moon is indicitive of Evolution, gradual change. The Moon Evolution, gradual change Dreams and psychic activities. Strange rumblings. Something inside you longs to be seen. Subconscious bears fruit. Supernatural experience. Intuition overload. Uncanny feelings. Opening to the cyclical nature of life. Learning to adapt to the ever-changing nature can be difficult when we want to stay inside our comfort zone. Yet, learning to move with life’s ebbs and flows, aligning oneself with the cyclical nature of the moon help us ride life‘s ups and downs. Energy cycles around yet you cultivate the ability to stay centered. The crawfish emerging from the pool is a piece of your unconscious ready to be seen. It is ready to take on form and shape in the material world. The dog and wolf reflect the push and pull of our animal and bass in stinks. The two towers are indicative of the dual polarities we exist between, always shifting and evolving. The path between the mountains is the road you will travel.   The divine message to be found in this card is:  ",[@[Divinatory Meaning]],".</v>
      </c>
      <c r="N20" s="21">
        <v>18</v>
      </c>
      <c r="O20" s="20" t="s">
        <v>452</v>
      </c>
      <c r="P20" s="20" t="s">
        <v>555</v>
      </c>
      <c r="Q20" s="20" t="s">
        <v>570</v>
      </c>
      <c r="R20" s="20" t="s">
        <v>578</v>
      </c>
      <c r="S20" s="20" t="s">
        <v>603</v>
      </c>
      <c r="T20" s="20"/>
      <c r="U20" s="20" t="s">
        <v>596</v>
      </c>
      <c r="V20" s="20" t="s">
        <v>597</v>
      </c>
      <c r="W20"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Moon is represented by the Zodiac sign Pices and symbol ♓️.The element of water. It has a Masculine quality and is associated with the color Black and the direction of West. This sign is represented by the Fish, dolphin, dog, and jackal and the stone(s) of Pearl. The Astrological influence is Neptune .</v>
      </c>
      <c r="X20" s="20" t="s">
        <v>722</v>
      </c>
      <c r="Y20" s="20" t="s">
        <v>743</v>
      </c>
      <c r="Z20" s="20" t="s">
        <v>744</v>
      </c>
      <c r="AA20" s="20" t="s">
        <v>745</v>
      </c>
      <c r="AB20" s="20" t="s">
        <v>746</v>
      </c>
    </row>
    <row r="21" spans="1:28" ht="134.25" customHeight="1" x14ac:dyDescent="0.25">
      <c r="A21" s="2" t="s">
        <v>2</v>
      </c>
      <c r="B21" s="21" t="s">
        <v>807</v>
      </c>
      <c r="C21" s="20" t="s">
        <v>533</v>
      </c>
      <c r="D21" s="20"/>
      <c r="E21" s="28" t="s">
        <v>19</v>
      </c>
      <c r="F21" s="20" t="s">
        <v>19</v>
      </c>
      <c r="G21"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19 is the value of the Sun. The Sun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Sun is the card of Success, Radiance.  The sun is the center of our solar system and the source of all life. The child on the card reflects rebirth and resurrection as he wears the same red feather as the fool and the death card. He is the fool reborn, with spiritual understanding and mastery. He rides forward on the horse of purity with his new found freedom. The wall behind him reflects a barrier that has been crossed. The sunflowers represent all the bounty of summer and the richness of a beautiful August day. The sun appears to fill you with optimism and let you know everything will be ok. Each of us is a son with our universe, family, friends, Magic, and creativity orbiting around us. You are pure consciousness and energy. Let yourself shine. Life, truth, and manifestation in the real world. Pregnancy both literal and metaphorically. Yeah expansion and growth. Energy and excitement. </v>
      </c>
      <c r="H21" s="27" t="s">
        <v>234</v>
      </c>
      <c r="I21" s="20" t="s">
        <v>307</v>
      </c>
      <c r="J21" s="20" t="s">
        <v>389</v>
      </c>
      <c r="K21" s="20" t="s">
        <v>66</v>
      </c>
      <c r="L21" s="20" t="s">
        <v>66</v>
      </c>
      <c r="M21"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19 of Sun is the card of Success, optimism, vitality. The Sun card´s suit is the suit of the Sun. The card of Sun is indicitive of Success, Radiance. The Sun Success, Radiance The sun is the center of our solar system and the source of all life. The child on the card reflects rebirth and resurrection as he wears the same red feather as the fool and the death card. He is the fool reborn, with spiritual understanding and mastery. He rides forward on the horse of purity with his new found freedom. The wall behind him reflects a barrier that has been crossed. The sunflowers represent all the bounty of summer and the richness of a beautiful August day. The sun appears to fill you with optimism and let you know everything will be ok. Each of us is a son with our universe, family, friends, Magic, and creativity orbiting around us. You are pure consciousness and energy. Let yourself shine. Life, truth, and manifestation in the real world. Pregnancy both literal and metaphorically. Yeah expansion and growth. Energy and excitement.   The divine message to be found in this card is:  ",[@[Divinatory Meaning]],".</v>
      </c>
      <c r="N21" s="21">
        <v>19</v>
      </c>
      <c r="O21" s="20" t="s">
        <v>453</v>
      </c>
      <c r="P21" s="20" t="s">
        <v>549</v>
      </c>
      <c r="Q21" s="20" t="s">
        <v>827</v>
      </c>
      <c r="R21" s="20" t="s">
        <v>826</v>
      </c>
      <c r="S21" s="20" t="s">
        <v>19</v>
      </c>
      <c r="T21" s="20"/>
      <c r="U21" s="20" t="s">
        <v>590</v>
      </c>
      <c r="V21" s="20" t="s">
        <v>591</v>
      </c>
      <c r="W21"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Sun is represented by the Zodiac sign Leo and symbol ♌.The element of Fire. It has a Masculine quality and is associated with the color Red and the direction of South. This sign is represented by the Lion, sparrow hawk, and leopard and the stone(s) of Crysolith. The Astrological influence is Sun .</v>
      </c>
      <c r="X21" s="20" t="s">
        <v>667</v>
      </c>
      <c r="Y21" s="20" t="s">
        <v>747</v>
      </c>
      <c r="Z21" s="20" t="s">
        <v>748</v>
      </c>
      <c r="AA21" s="20" t="s">
        <v>749</v>
      </c>
      <c r="AB21" s="20" t="s">
        <v>750</v>
      </c>
    </row>
    <row r="22" spans="1:28" ht="134.25" customHeight="1" x14ac:dyDescent="0.25">
      <c r="A22" s="2" t="s">
        <v>2</v>
      </c>
      <c r="B22" s="21" t="s">
        <v>807</v>
      </c>
      <c r="C22" s="20" t="s">
        <v>534</v>
      </c>
      <c r="D22" s="20"/>
      <c r="E22" s="28" t="s">
        <v>20</v>
      </c>
      <c r="F22" s="20" t="s">
        <v>20</v>
      </c>
      <c r="G22"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20 is the value of the Judgement. The Judgement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Judgement is the card of Rebirth.  Turning point. Wake up call. No going back. Undeniable change. Awakening consciousness. Evolution has occurred. Metamorphosis. Possibility beyond your expectations. New reality. The tectonic plates of change shift as the ark Angel Michael blows his horn it is the ultimate wake up call signaling your life will never be the same. The husband, wife and child reflect the masculine, feminine, child self, and adult self. It is all parts of the soul heating the car. The emerge from coffins. The allegory of the end days is a parent when the dead rise. It is the ultimate form of regeneration. Judgment appears to let you know everything inside of you has changed even if the outside hasn’t caught up yet. </v>
      </c>
      <c r="H22" s="27" t="s">
        <v>235</v>
      </c>
      <c r="I22" s="20" t="s">
        <v>308</v>
      </c>
      <c r="J22" s="20" t="s">
        <v>390</v>
      </c>
      <c r="K22" s="20" t="s">
        <v>67</v>
      </c>
      <c r="L22" s="20" t="s">
        <v>67</v>
      </c>
      <c r="M22"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20 of Judgement is the card of Judgement, rebirth, awakening. The Judgement card´s suit is the suit of the Judgement. The card of Judgement is indicitive of Rebirth. The Judgement Rebirth Turning point. Wake up call. No going back. Undeniable change. Awakening consciousness. Evolution has occurred. Metamorphosis. Possibility beyond your expectations. New reality. The tectonic plates of change shift as the ark Angel Michael blows his horn it is the ultimate wake up call signaling your life will never be the same. The husband, wife and child reflect the masculine, feminine, child self, and adult self. It is all parts of the soul heating the car. The emerge from coffins. The allegory of the end days is a parent when the dead rise. It is the ultimate form of regeneration. Judgment appears to let you know everything inside of you has changed even if the outside hasn’t caught up yet.   The divine message to be found in this card is:  ",[@[Divinatory Meaning]],".</v>
      </c>
      <c r="N22" s="21">
        <v>20</v>
      </c>
      <c r="O22" s="20" t="s">
        <v>454</v>
      </c>
      <c r="P22" s="20" t="s">
        <v>549</v>
      </c>
      <c r="Q22" s="20" t="s">
        <v>565</v>
      </c>
      <c r="R22" s="20" t="s">
        <v>819</v>
      </c>
      <c r="S22" s="20" t="s">
        <v>604</v>
      </c>
      <c r="T22" s="20"/>
      <c r="U22" s="20" t="s">
        <v>590</v>
      </c>
      <c r="V22" s="20" t="s">
        <v>591</v>
      </c>
      <c r="W22"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Judgement is represented by the Zodiac sign Libra and symbol ♎.The element of Fire. It has a Masculine quality and is associated with the color Red and the direction of South. This sign is represented by the Lion and the stone(s) of Fire-Opal. The Astrological influence is Pluto .</v>
      </c>
      <c r="X22" s="20" t="s">
        <v>667</v>
      </c>
      <c r="Y22" s="20" t="s">
        <v>751</v>
      </c>
      <c r="Z22" s="20" t="s">
        <v>752</v>
      </c>
      <c r="AA22" s="20" t="s">
        <v>753</v>
      </c>
      <c r="AB22" s="20" t="s">
        <v>754</v>
      </c>
    </row>
    <row r="23" spans="1:28" ht="134.25" customHeight="1" x14ac:dyDescent="0.25">
      <c r="A23" s="2" t="s">
        <v>2</v>
      </c>
      <c r="B23" s="21" t="s">
        <v>807</v>
      </c>
      <c r="C23" s="20" t="s">
        <v>535</v>
      </c>
      <c r="D23" s="20"/>
      <c r="E23" s="28" t="s">
        <v>21</v>
      </c>
      <c r="F23" s="20" t="s">
        <v>21</v>
      </c>
      <c r="G23"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21 is the value of the World. The World is a Pre-destined card of Fate - 22 remaining cards (Trump cards) Tell the story of the journey of the soul, Richly symbolic.  22 is a Master # in numerology as are 11 and 33) and it is the number of the Master builder.  A journey through the 22 cards is masterfully built on a structure of cycles.  All Major Acana cards represent a place on the Fools journey.  Check Major cards before and after the selected card to understand where you are in the journey/placement..  The World is the card of Unlimited wonder.  Living in the moment. Nirvana. Enlightenment. Completion. Success. Travel. The ultimate of everything. Overcoming human limitations. Transcendence. Euphoria. Freedom. Life. You simply far as time, worry, and effort ceases. The world card is a kin to the goal of many spiritual traditions. It is freedom, enlightenment, and perfection in the present moment. It does not belong to a select few but to any of us at any moment. The world dancer holds two wands in her hand as the energy of life flows through her. The creatures in the corners reflect the four directions, four elements, and manifestation in every sector of your life. The wreath suggest victory but also the birth canal through which the fool emerges to begin the cycle again. The world card is the big bang. It is universal, orgasmic consciousness. It is perfection. You are perfection.           </v>
      </c>
      <c r="H23" s="27" t="s">
        <v>236</v>
      </c>
      <c r="I23" s="20" t="s">
        <v>309</v>
      </c>
      <c r="J23" s="20" t="s">
        <v>391</v>
      </c>
      <c r="K23" s="20" t="s">
        <v>68</v>
      </c>
      <c r="L23" s="20" t="s">
        <v>68</v>
      </c>
      <c r="M23"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21 of World is the card of Completion, fulfillment, celebration, harmony. The World card´s suit is the suit of the World. The card of World is indicitive of Unlimited wonder. The World Unlimited wonder Living in the moment. Nirvana. Enlightenment. Completion. Success. Travel. The ultimate of everything. Overcoming human limitations. Transcendence. Euphoria. Freedom. Life. You simply far as time, worry, and effort ceases. The world card is a kin to the goal of many spiritual traditions. It is freedom, enlightenment, and perfection in the present moment. It does not belong to a select few but to any of us at any moment. The world dancer holds two wands in her hand as the energy of life flows through her. The creatures in the corners reflect the four directions, four elements, and manifestation in every sector of your life. The wreath suggest victory but also the birth canal through which the fool emerges to begin the cycle again. The world card is the big bang. It is universal, orgasmic consciousness. It is perfection. You are perfection.             The divine message to be found in this card is:  ",[@[Divinatory Meaning]],".</v>
      </c>
      <c r="N23" s="21">
        <v>21</v>
      </c>
      <c r="O23" s="20" t="s">
        <v>455</v>
      </c>
      <c r="P23" s="20" t="s">
        <v>557</v>
      </c>
      <c r="Q23" s="20" t="s">
        <v>558</v>
      </c>
      <c r="R23" s="20" t="s">
        <v>820</v>
      </c>
      <c r="S23" s="20" t="s">
        <v>605</v>
      </c>
      <c r="T23" s="20"/>
      <c r="U23" s="20" t="s">
        <v>599</v>
      </c>
      <c r="V23" s="20" t="s">
        <v>600</v>
      </c>
      <c r="W23"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World is represented by the Zodiac sign Taurus and symbol ♉.The element of Earth. It has a Masculine quality and is associated with the color White and the direction of North. This sign is represented by the Crocodile and the stone(s) of Onyx. The Astrological influence is Saturn .</v>
      </c>
      <c r="X23" s="20" t="s">
        <v>667</v>
      </c>
      <c r="Y23" s="20" t="s">
        <v>755</v>
      </c>
      <c r="Z23" s="20" t="s">
        <v>756</v>
      </c>
      <c r="AA23" s="20" t="s">
        <v>757</v>
      </c>
      <c r="AB23" s="20" t="s">
        <v>758</v>
      </c>
    </row>
    <row r="24" spans="1:28" ht="134.25" customHeight="1" x14ac:dyDescent="0.25">
      <c r="A24" s="2" t="s">
        <v>22</v>
      </c>
      <c r="B24" s="21" t="s">
        <v>23</v>
      </c>
      <c r="C24" s="20" t="s">
        <v>536</v>
      </c>
      <c r="D24" s="20"/>
      <c r="E24" s="28" t="s">
        <v>157</v>
      </c>
      <c r="F24" s="20" t="s">
        <v>541</v>
      </c>
      <c r="G24" s="22" t="str">
        <f>_xlfn.CONCAT(Table1[[#This Row],[Numerical value]]," is the value of the ",Table1[[#This Row],[Card Name]],". The ",Table1[[#This Row],[Card Name]]," is a ",Table1[[#This Row],[Group Representation]],".  The ", Table1[[#This Row],[Card Name]]," is the card of ",Table1[[#This Row],[Indicitive of]],".  ",Table1[[#This Row],[Radiant Wise Description]])</f>
        <v>Ace is the value of the Ace of Wands. The Ace of Wands is a All Minor cards are indicitive of choice and indicate an element..  The Ace of Wands is the card of Do, yes, action.  Spark of desire. Energy and originality. Erotic desire. Visioning. Ideas. Life. Intensity. The beginning of the element of fire. The seed of life busting inside the soul. It is the beginning of passion in career, spirituality and love. The electric spark of desire between two people. It is also a symbol of male virility.</v>
      </c>
      <c r="H24" s="27" t="s">
        <v>241</v>
      </c>
      <c r="I24" s="20" t="s">
        <v>310</v>
      </c>
      <c r="J24" s="20" t="s">
        <v>392</v>
      </c>
      <c r="K24" s="20" t="s">
        <v>237</v>
      </c>
      <c r="L24" s="20" t="s">
        <v>137</v>
      </c>
      <c r="M24"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Ace of Wands is the card of Inspiration, desire, passion, new drive, a new initiative. The Ace of Wands card´s suit is the suit of the Wands. The card of Ace of Wands is indicitive of Do, yes, action. The Ace of Wands Ace is a Pre-destined card of Fate. New beginnings and opportunities Spark of desire. Energy and originality. Erotic desire. Visioning. Ideas. Life. Intensity. The beginning of the element of fire. The seed of life busting inside the soul. It is the beginning of passion in career, spirituality and love. The electric spark of desire between two people. It is also a symbol of male virility.  The divine message to be found in this card is:  ",[@[Divinatory Meaning]],".</v>
      </c>
      <c r="N24" s="21" t="s">
        <v>428</v>
      </c>
      <c r="O24" s="20" t="s">
        <v>456</v>
      </c>
      <c r="P24" s="20" t="s">
        <v>549</v>
      </c>
      <c r="Q24" s="20" t="s">
        <v>579</v>
      </c>
      <c r="R24" s="20" t="s">
        <v>580</v>
      </c>
      <c r="S24" s="20" t="s">
        <v>606</v>
      </c>
      <c r="T24" s="20"/>
      <c r="U24" s="20" t="s">
        <v>590</v>
      </c>
      <c r="V24" s="20" t="s">
        <v>591</v>
      </c>
      <c r="W24"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Ace of Wands is represented by the Zodiac sign Sagitarius, Aries, Leo and symbol ♐️ ♈️ ♌️.The element of Fire. It has a Masculine quality and is associated with the color Red and the direction of South. This sign is represented by the  and the stone(s) of Diamond. The Astrological influence is Spirit of Fire .</v>
      </c>
      <c r="X24" s="20" t="s">
        <v>667</v>
      </c>
      <c r="Y24" s="20"/>
      <c r="Z24" s="20" t="s">
        <v>759</v>
      </c>
      <c r="AA24" s="20" t="s">
        <v>760</v>
      </c>
      <c r="AB24" s="20" t="s">
        <v>761</v>
      </c>
    </row>
    <row r="25" spans="1:28" ht="134.25" customHeight="1" x14ac:dyDescent="0.25">
      <c r="A25" s="2" t="s">
        <v>22</v>
      </c>
      <c r="B25" s="21" t="s">
        <v>23</v>
      </c>
      <c r="C25" s="20"/>
      <c r="D25" s="20"/>
      <c r="E25" s="28" t="s">
        <v>159</v>
      </c>
      <c r="F25" s="20" t="s">
        <v>541</v>
      </c>
      <c r="G25"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2 is the value of the 2 of Wands. The 2 of Wands is a All Minor cards are indicitive of choice and indicate an element..  The 2 of Wands is the card of Set goals.  Reflection of passion. Making plans. Having the world in your hands. Plotting and planning. Fires energy has developed into something more. The duality of passion and all the possibility it allows. The figure stand between two wands with the world in his hands. The ones reflect the two pillars of the tree of life. The figure is the center pillar, the integration of dualities. See the world before you. What do you want? Now is the time to plot and plan.          </v>
      </c>
      <c r="H25" s="27" t="s">
        <v>240</v>
      </c>
      <c r="I25" s="20" t="s">
        <v>311</v>
      </c>
      <c r="J25" s="20" t="s">
        <v>393</v>
      </c>
      <c r="K25" s="20" t="s">
        <v>69</v>
      </c>
      <c r="L25" s="20" t="s">
        <v>138</v>
      </c>
      <c r="M25"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2 of Wands is the card of Looking to the future, progress, decisions. The 2 of Wands card´s suit is the suit of the Wands. The card of 2 of Wands is indicitive of Set goals. The 2 of Wands Partnership, Balance Reflection of passion. Making plans. Having the world in your hands. Plotting and planning. Fires energy has developed into something more. The duality of passion and all the possibility it allows. The figure stand between two wands with the world in his hands. The ones reflect the two pillars of the tree of life. The figure is the center pillar, the integration of dualities. See the world before you. What do you want? Now is the time to plot and plan.            The divine message to be found in this card is:  ",[@[Divinatory Meaning]],".</v>
      </c>
      <c r="N25" s="21">
        <v>2</v>
      </c>
      <c r="O25" s="20" t="s">
        <v>457</v>
      </c>
      <c r="P25" s="20" t="s">
        <v>549</v>
      </c>
      <c r="Q25" s="20" t="s">
        <v>579</v>
      </c>
      <c r="R25" s="20" t="s">
        <v>580</v>
      </c>
      <c r="S25" s="20" t="s">
        <v>607</v>
      </c>
      <c r="T25" s="20"/>
      <c r="U25" s="20" t="s">
        <v>590</v>
      </c>
      <c r="V25" s="20" t="s">
        <v>591</v>
      </c>
      <c r="W25"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2 of Wands is represented by the Zodiac sign Sagitarius, Aries, Leo and symbol ♐️ ♈️ ♌️.The element of Fire. It has a Masculine quality and is associated with the color Red and the direction of South. This sign is represented by the  and the stone(s) of Star Ruby, and Turquoise. The Astrological influence is Mars in Aries .</v>
      </c>
      <c r="X25" s="20" t="s">
        <v>667</v>
      </c>
      <c r="Y25" s="20"/>
      <c r="Z25" s="20" t="s">
        <v>762</v>
      </c>
      <c r="AA25" s="20" t="s">
        <v>763</v>
      </c>
      <c r="AB25" s="20" t="s">
        <v>764</v>
      </c>
    </row>
    <row r="26" spans="1:28" ht="134.25" customHeight="1" x14ac:dyDescent="0.25">
      <c r="A26" s="2" t="s">
        <v>22</v>
      </c>
      <c r="B26" s="21" t="s">
        <v>23</v>
      </c>
      <c r="C26" s="20"/>
      <c r="D26" s="20"/>
      <c r="E26" s="28" t="s">
        <v>173</v>
      </c>
      <c r="F26" s="20" t="s">
        <v>541</v>
      </c>
      <c r="G26" s="22" t="str">
        <f>_xlfn.CONCAT(Table1[[#This Row],[Numerical value]]," is the value of the ",Table1[[#This Row],[Card Name]],". The ",Table1[[#This Row],[Card Name]]," is a ",Table1[[#This Row],[Group Representation]],".  The ", Table1[[#This Row],[Card Name]]," is the card of ",Table1[[#This Row],[Indicitive of]],".  ",Table1[[#This Row],[Radiant Wise Description]])</f>
        <v>3 is the value of the 3 of Wands. The 3 of Wands is a All Minor cards are indicitive of choice and indicate an element..  The 3 of Wands is the card of Virtuous actions.  Plans into action. Daring greatly. Creativity and collaboration with others. Business partnerships. The figure stands with three wands as he looks out to the ships he has set forth. The plans are hatched in a good effort is made. Creativity and evolution unfolds and marvelous consequences Leah head. It is still time to plan for future adjustments but feel pleased with personal progress and innate ability to work well with others.</v>
      </c>
      <c r="H26" s="27" t="s">
        <v>239</v>
      </c>
      <c r="I26" s="20" t="s">
        <v>312</v>
      </c>
      <c r="J26" s="20" t="s">
        <v>394</v>
      </c>
      <c r="K26" s="20" t="s">
        <v>70</v>
      </c>
      <c r="L26" s="20" t="s">
        <v>139</v>
      </c>
      <c r="M26"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3 of Wands is the card of Finding direction, expansion, growth, travel. The 3 of Wands card´s suit is the suit of the Wands. The card of 3 of Wands is indicitive of Virtuous actions. The 3 of Wands Trinity, Magic Plans into action. Daring greatly. Creativity and collaboration with others. Business partnerships. The figure stands with three wands as he looks out to the ships he has set forth. The plans are hatched in a good effort is made. Creativity and evolution unfolds and marvelous consequences Leah head. It is still time to plan for future adjustments but feel pleased with personal progress and innate ability to work well with others.  The divine message to be found in this card is:  ",[@[Divinatory Meaning]],".</v>
      </c>
      <c r="N26" s="21">
        <v>3</v>
      </c>
      <c r="O26" s="20" t="s">
        <v>458</v>
      </c>
      <c r="P26" s="20" t="s">
        <v>549</v>
      </c>
      <c r="Q26" s="20" t="s">
        <v>579</v>
      </c>
      <c r="R26" s="20" t="s">
        <v>580</v>
      </c>
      <c r="S26" s="20" t="s">
        <v>608</v>
      </c>
      <c r="T26" s="20"/>
      <c r="U26" s="20" t="s">
        <v>590</v>
      </c>
      <c r="V26" s="20" t="s">
        <v>591</v>
      </c>
      <c r="W26"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3 of Wands is represented by the Zodiac sign Sagitarius, Aries, Leo and symbol ♐️ ♈️ ♌️.The element of Fire. It has a Masculine quality and is associated with the color Red and the direction of South. This sign is represented by the  and the stone(s) of Star Sapphire, Pearl. The Astrological influence is Sun in Aries .</v>
      </c>
      <c r="X26" s="20" t="s">
        <v>667</v>
      </c>
      <c r="Y26" s="20"/>
      <c r="Z26" s="20" t="s">
        <v>765</v>
      </c>
      <c r="AA26" s="20" t="s">
        <v>766</v>
      </c>
      <c r="AB26" s="20" t="s">
        <v>767</v>
      </c>
    </row>
    <row r="27" spans="1:28" ht="134.25" customHeight="1" x14ac:dyDescent="0.25">
      <c r="A27" s="2" t="s">
        <v>22</v>
      </c>
      <c r="B27" s="21" t="s">
        <v>23</v>
      </c>
      <c r="C27" s="20"/>
      <c r="D27" s="20"/>
      <c r="E27" s="28" t="s">
        <v>174</v>
      </c>
      <c r="F27" s="20" t="s">
        <v>541</v>
      </c>
      <c r="G27" s="22" t="str">
        <f>_xlfn.CONCAT(Table1[[#This Row],[Numerical value]]," is the value of the ",Table1[[#This Row],[Card Name]],". The ",Table1[[#This Row],[Card Name]]," is a ",Table1[[#This Row],[Group Representation]],".  The ", Table1[[#This Row],[Card Name]]," is the card of ",Table1[[#This Row],[Indicitive of]],".  ",Table1[[#This Row],[Radiant Wise Description]])</f>
        <v>4 is the value of the 4 of Wands. The 4 of Wands is a All Minor cards are indicitive of choice and indicate an element..  The 4 of Wands is the card of Completed projects.  Celebration. Stability of passion. Party time. Summer fires and blessings. Domestic bliss. The four wands reflect stability and strength. The element of fire is secured and celebrations commence. It is a time of summer parties, laughter and Gary. Your work has paid off in early dividends. You can relax and enjoy. It is also nature and countryside pleasures.</v>
      </c>
      <c r="H27" s="27" t="s">
        <v>238</v>
      </c>
      <c r="I27" s="20" t="s">
        <v>313</v>
      </c>
      <c r="J27" s="20" t="s">
        <v>395</v>
      </c>
      <c r="K27" s="20" t="s">
        <v>71</v>
      </c>
      <c r="L27" s="20" t="s">
        <v>140</v>
      </c>
      <c r="M27"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4 of Wands is the card of Cebration, Wedding, Stability. The 4 of Wands card´s suit is the suit of the Wands. The card of 4 of Wands is indicitive of Completed projects. The 4 of Wands Foundation, Completion Celebration. Stability of passion. Party time. Summer fires and blessings. Domestic bliss. The four wands reflect stability and strength. The element of fire is secured and celebrations commence. It is a time of summer parties, laughter and Gary. Your work has paid off in early dividends. You can relax and enjoy. It is also nature and countryside pleasures.  The divine message to be found in this card is:  ",[@[Divinatory Meaning]],".</v>
      </c>
      <c r="N27" s="21">
        <v>4</v>
      </c>
      <c r="O27" s="20" t="s">
        <v>459</v>
      </c>
      <c r="P27" s="20" t="s">
        <v>549</v>
      </c>
      <c r="Q27" s="20" t="s">
        <v>579</v>
      </c>
      <c r="R27" s="20" t="s">
        <v>580</v>
      </c>
      <c r="S27" s="20" t="s">
        <v>609</v>
      </c>
      <c r="T27" s="20"/>
      <c r="U27" s="20" t="s">
        <v>590</v>
      </c>
      <c r="V27" s="20" t="s">
        <v>591</v>
      </c>
      <c r="W27"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4 of Wands is represented by the Zodiac sign Sagitarius, Aries, Leo and symbol ♐️ ♈️ ♌️.The element of Fire. It has a Masculine quality and is associated with the color Red and the direction of South. This sign is represented by the  and the stone(s) of Amethyst, Sapphire, Lapis Lazuli. The Astrological influence is Venus in Aries .</v>
      </c>
      <c r="X27" s="20" t="s">
        <v>667</v>
      </c>
      <c r="Y27" s="20"/>
      <c r="Z27" s="20" t="s">
        <v>768</v>
      </c>
      <c r="AA27" s="20" t="s">
        <v>769</v>
      </c>
      <c r="AB27" s="20" t="s">
        <v>770</v>
      </c>
    </row>
    <row r="28" spans="1:28" ht="134.25" customHeight="1" x14ac:dyDescent="0.25">
      <c r="A28" s="2" t="s">
        <v>22</v>
      </c>
      <c r="B28" s="21" t="s">
        <v>23</v>
      </c>
      <c r="C28" s="20"/>
      <c r="D28" s="20"/>
      <c r="E28" s="28" t="s">
        <v>179</v>
      </c>
      <c r="F28" s="20" t="s">
        <v>541</v>
      </c>
      <c r="G28"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5 is the value of the 5 of Wands. The 5 of Wands is a All Minor cards are indicitive of choice and indicate an element..  The 5 of Wands is the card of Strife.  Incendiary events. Protests. People worked up. Drama. Exciting conflict. New ideas born from passionate debate. The energy is scattered but it forces work together, powerful results occur. There is a need for unity. The scrimmage or practice match. People aren’t afraid to take bold action. People not acting the way you hoped they would. It is the challenge arriving when everyone wants a different outcome. Free yourself by surrendering to the moment.          </v>
      </c>
      <c r="H28" s="27" t="s">
        <v>242</v>
      </c>
      <c r="I28" s="20" t="s">
        <v>314</v>
      </c>
      <c r="J28" s="20" t="s">
        <v>396</v>
      </c>
      <c r="K28" s="20" t="s">
        <v>72</v>
      </c>
      <c r="L28" s="20" t="s">
        <v>141</v>
      </c>
      <c r="M28"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5 of Wands is the card of Conflict, Argument, Competition, Disagreement, Not Listening to others. The 5 of Wands card´s suit is the suit of the Wands. The card of 5 of Wands is indicitive of Strife. The 5 of Wands Strife, Chaos Incendiary events. Protests. People worked up. Drama. Exciting conflict. New ideas born from passionate debate. The energy is scattered but it forces work together, powerful results occur. There is a need for unity. The scrimmage or practice match. People aren’t afraid to take bold action. People not acting the way you hoped they would. It is the challenge arriving when everyone wants a different outcome. Free yourself by surrendering to the moment.            The divine message to be found in this card is:  ",[@[Divinatory Meaning]],".</v>
      </c>
      <c r="N28" s="21">
        <v>5</v>
      </c>
      <c r="O28" s="20" t="s">
        <v>460</v>
      </c>
      <c r="P28" s="20" t="s">
        <v>549</v>
      </c>
      <c r="Q28" s="20" t="s">
        <v>579</v>
      </c>
      <c r="R28" s="20" t="s">
        <v>580</v>
      </c>
      <c r="S28" s="20" t="s">
        <v>610</v>
      </c>
      <c r="T28" s="20"/>
      <c r="U28" s="20" t="s">
        <v>590</v>
      </c>
      <c r="V28" s="20" t="s">
        <v>591</v>
      </c>
      <c r="W28"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5 of Wands is represented by the Zodiac sign Sagitarius, Aries, Leo and symbol ♐️ ♈️ ♌️.The element of Fire. It has a Masculine quality and is associated with the color Red and the direction of South. This sign is represented by the  and the stone(s) of Ruby. The Astrological influence is Saturn in Leo .</v>
      </c>
      <c r="X28" s="20" t="s">
        <v>722</v>
      </c>
      <c r="Y28" s="20"/>
      <c r="Z28" s="20" t="s">
        <v>686</v>
      </c>
      <c r="AA28" s="20" t="s">
        <v>771</v>
      </c>
      <c r="AB28" s="20" t="s">
        <v>772</v>
      </c>
    </row>
    <row r="29" spans="1:28" ht="134.25" customHeight="1" x14ac:dyDescent="0.25">
      <c r="A29" s="2" t="s">
        <v>22</v>
      </c>
      <c r="B29" s="21" t="s">
        <v>23</v>
      </c>
      <c r="C29" s="20"/>
      <c r="D29" s="20"/>
      <c r="E29" s="28" t="s">
        <v>175</v>
      </c>
      <c r="F29" s="20" t="s">
        <v>541</v>
      </c>
      <c r="G29"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6 is the value of the 6 of Wands. The 6 of Wands is a All Minor cards are indicitive of choice and indicate an element..  The 6 of Wands is the card of Victory.  Victory lap. Marching in glory. Personal success inspires others. Sharing the glory. Add elation. Expansion and being recognized by your peers and friends for exceptional personal talents. The six of WANDS, like all Taro sixes, implies separation and hierarchy. The main figure rides above all others on his horse. The figure rejoices in his victory yet his horse looks suspiciously behind them. Has something been overlooked? </v>
      </c>
      <c r="H29" s="27" t="s">
        <v>243</v>
      </c>
      <c r="I29" s="20" t="s">
        <v>315</v>
      </c>
      <c r="J29" s="20" t="s">
        <v>397</v>
      </c>
      <c r="K29" s="20" t="s">
        <v>73</v>
      </c>
      <c r="L29" s="20" t="s">
        <v>142</v>
      </c>
      <c r="M29"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6 of Wands is the card of Achievement, Victory, Success, Public Recognition. The 6 of Wands card´s suit is the suit of the Wands. The card of 6 of Wands is indicitive of Victory. The 6 of Wands Perfection, Beauty Victory lap. Marching in glory. Personal success inspires others. Sharing the glory. Add elation. Expansion and being recognized by your peers and friends for exceptional personal talents. The six of WANDS, like all Taro sixes, implies separation and hierarchy. The main figure rides above all others on his horse. The figure rejoices in his victory yet his horse looks suspiciously behind them. Has something been overlooked?   The divine message to be found in this card is:  ",[@[Divinatory Meaning]],".</v>
      </c>
      <c r="N29" s="21">
        <v>6</v>
      </c>
      <c r="O29" s="20" t="s">
        <v>461</v>
      </c>
      <c r="P29" s="20" t="s">
        <v>549</v>
      </c>
      <c r="Q29" s="20" t="s">
        <v>579</v>
      </c>
      <c r="R29" s="20" t="s">
        <v>580</v>
      </c>
      <c r="S29" s="20" t="s">
        <v>611</v>
      </c>
      <c r="T29" s="20"/>
      <c r="U29" s="20" t="s">
        <v>590</v>
      </c>
      <c r="V29" s="20" t="s">
        <v>591</v>
      </c>
      <c r="W29"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6 of Wands is represented by the Zodiac sign Sagitarius, Aries, Leo and symbol ♐️ ♈️ ♌️.The element of Fire. It has a Masculine quality and is associated with the color Red and the direction of South. This sign is represented by the  and the stone(s) of Topaz, Yellow Diamond. The Astrological influence is Jupiter in Leo .</v>
      </c>
      <c r="X29" s="20" t="s">
        <v>667</v>
      </c>
      <c r="Y29" s="20"/>
      <c r="Z29" s="20" t="s">
        <v>773</v>
      </c>
      <c r="AA29" s="20" t="s">
        <v>774</v>
      </c>
      <c r="AB29" s="20" t="s">
        <v>775</v>
      </c>
    </row>
    <row r="30" spans="1:28" ht="134.25" customHeight="1" x14ac:dyDescent="0.25">
      <c r="A30" s="2" t="s">
        <v>22</v>
      </c>
      <c r="B30" s="21" t="s">
        <v>23</v>
      </c>
      <c r="C30" s="20"/>
      <c r="D30" s="20"/>
      <c r="E30" s="28" t="s">
        <v>176</v>
      </c>
      <c r="F30" s="20" t="s">
        <v>541</v>
      </c>
      <c r="G30" s="22" t="str">
        <f>_xlfn.CONCAT(Table1[[#This Row],[Numerical value]]," is the value of the ",Table1[[#This Row],[Card Name]],". The ",Table1[[#This Row],[Card Name]]," is a ",Table1[[#This Row],[Group Representation]],".  The ", Table1[[#This Row],[Card Name]]," is the card of ",Table1[[#This Row],[Indicitive of]],".  ",Table1[[#This Row],[Radiant Wise Description]])</f>
        <v>7 is the value of the 7 of Wands. The 7 of Wands is a All Minor cards are indicitive of choice and indicate an element..  The 7 of Wands is the card of Valor yet struggle.  Defending oneself against real and imagined enemies. Upper hand. Non-conformity. Quick wit. Improvisation. The figure is on Highground defending himself against would be invaders and or attackers. Are the attackers real or imagined? Are you feeling especially sensitive and vulnerable? Perhaps, it is all in your mind. The figure wears two different shoes implying a quick getaway. Were you cutting corners or taking the easy way out? The defense will  be successful but was it worth the effort you put in?</v>
      </c>
      <c r="H30" s="27" t="s">
        <v>244</v>
      </c>
      <c r="I30" s="20" t="s">
        <v>316</v>
      </c>
      <c r="J30" s="20" t="s">
        <v>398</v>
      </c>
      <c r="K30" s="20" t="s">
        <v>74</v>
      </c>
      <c r="L30" s="20" t="s">
        <v>143</v>
      </c>
      <c r="M30"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7 of Wands is the card of Defense, protection, taking stand for beliefs. The 7 of Wands card´s suit is the suit of the Wands. The card of 7 of Wands is indicitive of Valor yet struggle. The 7 of Wands Spiritual Seeking, Questing Defending oneself against real and imagined enemies. Upper hand. Non-conformity. Quick wit. Improvisation. The figure is on Highground defending himself against would be invaders and or attackers. Are the attackers real or imagined? Are you feeling especially sensitive and vulnerable? Perhaps, it is all in your mind. The figure wears two different shoes implying a quick getaway. Were you cutting corners or taking the easy way out? The defense will  be successful but was it worth the effort you put in?  The divine message to be found in this card is:  ",[@[Divinatory Meaning]],".</v>
      </c>
      <c r="N30" s="21">
        <v>7</v>
      </c>
      <c r="O30" s="20" t="s">
        <v>462</v>
      </c>
      <c r="P30" s="20" t="s">
        <v>549</v>
      </c>
      <c r="Q30" s="20" t="s">
        <v>579</v>
      </c>
      <c r="R30" s="20" t="s">
        <v>580</v>
      </c>
      <c r="S30" s="20" t="s">
        <v>612</v>
      </c>
      <c r="T30" s="20"/>
      <c r="U30" s="20" t="s">
        <v>590</v>
      </c>
      <c r="V30" s="20" t="s">
        <v>591</v>
      </c>
      <c r="W30"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7 of Wands is represented by the Zodiac sign Sagitarius, Aries, Leo and symbol ♐️ ♈️ ♌️.The element of Fire. It has a Masculine quality and is associated with the color Red and the direction of South. This sign is represented by the  and the stone(s) of Emerald. The Astrological influence is Mars in Leo .</v>
      </c>
      <c r="X30" s="20" t="s">
        <v>667</v>
      </c>
      <c r="Y30" s="20"/>
      <c r="Z30" s="20" t="s">
        <v>715</v>
      </c>
      <c r="AA30" s="20" t="s">
        <v>776</v>
      </c>
      <c r="AB30" s="20" t="s">
        <v>777</v>
      </c>
    </row>
    <row r="31" spans="1:28" ht="134.25" customHeight="1" x14ac:dyDescent="0.25">
      <c r="A31" s="2" t="s">
        <v>22</v>
      </c>
      <c r="B31" s="21" t="s">
        <v>23</v>
      </c>
      <c r="C31" s="20"/>
      <c r="D31" s="20"/>
      <c r="E31" s="28" t="s">
        <v>177</v>
      </c>
      <c r="F31" s="20" t="s">
        <v>541</v>
      </c>
      <c r="G31"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8 is the value of the 8 of Wands. The 8 of Wands is a All Minor cards are indicitive of choice and indicate an element..  The 8 of Wands is the card of Swiftness.  Intentions are sent. Energy in motion. Intentions are powerful in the eighth of wands is an illustration of action in motion. What is done is done and cannot be undone. The send button is hit, the letter is in the mail. The spell is cast. The words and incantations have been said. Why are you cannot undo what is done, you can pause, wait and see what the ramifications are. The energy is strong and effective. Allow the universe to work it’s magic. Do not try to control what has been sent. The situation is out of your hands for now. Be patient and you’ll get results.        </v>
      </c>
      <c r="H31" s="27" t="s">
        <v>370</v>
      </c>
      <c r="I31" s="20" t="s">
        <v>317</v>
      </c>
      <c r="J31" s="20" t="s">
        <v>399</v>
      </c>
      <c r="K31" s="20" t="s">
        <v>75</v>
      </c>
      <c r="L31" s="20" t="s">
        <v>144</v>
      </c>
      <c r="M31"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8 of Wands is the card of Swiftness, change, movement, speed, success, air travel. The 8 of Wands card´s suit is the suit of the Wands. The card of 8 of Wands is indicitive of Swiftness. The 8 of Wands Infinity, Stability Intentions are sent. Energy in motion. Intentions are powerful in the eighth of wands is an illustration of action in motion. What is done is done and cannot be undone. The send button is hit, the letter is in the mail. The spell is cast. The words and incantations have been said. Why are you cannot undo what is done, you can pause, wait and see what the ramifications are. The energy is strong and effective. Allow the universe to work it’s magic. Do not try to control what has been sent. The situation is out of your hands for now. Be patient and you’ll get results.          The divine message to be found in this card is:  ",[@[Divinatory Meaning]],".</v>
      </c>
      <c r="N31" s="21">
        <v>8</v>
      </c>
      <c r="O31" s="20" t="s">
        <v>463</v>
      </c>
      <c r="P31" s="20" t="s">
        <v>549</v>
      </c>
      <c r="Q31" s="20" t="s">
        <v>579</v>
      </c>
      <c r="R31" s="20" t="s">
        <v>580</v>
      </c>
      <c r="S31" s="20" t="s">
        <v>613</v>
      </c>
      <c r="T31" s="20"/>
      <c r="U31" s="20" t="s">
        <v>590</v>
      </c>
      <c r="V31" s="20" t="s">
        <v>591</v>
      </c>
      <c r="W31"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8 of Wands is represented by the Zodiac sign Sagitarius, Aries, Leo and symbol ♐️ ♈️ ♌️.The element of Fire. It has a Masculine quality and is associated with the color Red and the direction of South. This sign is represented by the  and the stone(s) of Opal, Fire opal. The Astrological influence is Mercury in Sagittarius .</v>
      </c>
      <c r="X31" s="20" t="s">
        <v>667</v>
      </c>
      <c r="Y31" s="20"/>
      <c r="Z31" s="20" t="s">
        <v>778</v>
      </c>
      <c r="AA31" s="20" t="s">
        <v>779</v>
      </c>
      <c r="AB31" s="20" t="s">
        <v>780</v>
      </c>
    </row>
    <row r="32" spans="1:28" ht="134.25" customHeight="1" x14ac:dyDescent="0.25">
      <c r="A32" s="2" t="s">
        <v>22</v>
      </c>
      <c r="B32" s="21" t="s">
        <v>23</v>
      </c>
      <c r="C32" s="20"/>
      <c r="D32" s="20"/>
      <c r="E32" s="28" t="s">
        <v>178</v>
      </c>
      <c r="F32" s="20" t="s">
        <v>541</v>
      </c>
      <c r="G32" s="22" t="str">
        <f>_xlfn.CONCAT(Table1[[#This Row],[Numerical value]]," is the value of the ",Table1[[#This Row],[Card Name]],". The ",Table1[[#This Row],[Card Name]]," is a ",Table1[[#This Row],[Group Representation]],".  The ", Table1[[#This Row],[Card Name]]," is the card of ",Table1[[#This Row],[Indicitive of]],".  ",Table1[[#This Row],[Radiant Wise Description]])</f>
        <v>9 is the value of the 9 of Wands. The 9 of Wands is a All Minor cards are indicitive of choice and indicate an element..  The 9 of Wands is the card of Strength, holding your ground.  Breaking barriers. New ground. Moving into the unknown. Unchartered territory. The figure moves through a gate and into the unknown. The bandage on his head and plays the history and challenges he has endured. Regardless of his struggles, he continues to move forth. He moves into a foreign space he has never entered before. He is Trepidatious and nervous yet rewards await him. Do not give up hope. There is more to come. It isn’t over yet.</v>
      </c>
      <c r="H32" s="27" t="s">
        <v>245</v>
      </c>
      <c r="I32" s="20" t="s">
        <v>318</v>
      </c>
      <c r="J32" s="20" t="s">
        <v>400</v>
      </c>
      <c r="K32" s="20" t="s">
        <v>76</v>
      </c>
      <c r="L32" s="20" t="s">
        <v>145</v>
      </c>
      <c r="M32"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9 of Wands is the card of Resilience, courage, persistence, on guard. The 9 of Wands card´s suit is the suit of the Wands. The card of 9 of Wands is indicitive of Strength, holding your ground. The 9 of Wands Master # of magic, Highest single digit number Breaking barriers. New ground. Moving into the unknown. Unchartered territory. The figure moves through a gate and into the unknown. The bandage on his head and plays the history and challenges he has endured. Regardless of his struggles, he continues to move forth. He moves into a foreign space he has never entered before. He is Trepidatious and nervous yet rewards await him. Do not give up hope. There is more to come. It isn’t over yet.  The divine message to be found in this card is:  ",[@[Divinatory Meaning]],".</v>
      </c>
      <c r="N32" s="21">
        <v>9</v>
      </c>
      <c r="O32" s="20" t="s">
        <v>464</v>
      </c>
      <c r="P32" s="20" t="s">
        <v>549</v>
      </c>
      <c r="Q32" s="20" t="s">
        <v>579</v>
      </c>
      <c r="R32" s="20" t="s">
        <v>580</v>
      </c>
      <c r="S32" s="20" t="s">
        <v>614</v>
      </c>
      <c r="T32" s="20"/>
      <c r="U32" s="20" t="s">
        <v>590</v>
      </c>
      <c r="V32" s="20" t="s">
        <v>591</v>
      </c>
      <c r="W32"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9 of Wands is represented by the Zodiac sign Sagitarius, Aries, Leo and symbol ♐️ ♈️ ♌️.The element of Fire. It has a Masculine quality and is associated with the color Red and the direction of South. This sign is represented by the  and the stone(s) of Quartz. The Astrological influence is Moon in Sagittarius .</v>
      </c>
      <c r="X32" s="20" t="s">
        <v>705</v>
      </c>
      <c r="Y32" s="20"/>
      <c r="Z32" s="20" t="s">
        <v>781</v>
      </c>
      <c r="AA32" s="20" t="s">
        <v>782</v>
      </c>
      <c r="AB32" s="20" t="s">
        <v>783</v>
      </c>
    </row>
    <row r="33" spans="1:28" ht="134.25" customHeight="1" x14ac:dyDescent="0.25">
      <c r="A33" s="2" t="s">
        <v>22</v>
      </c>
      <c r="B33" s="21" t="s">
        <v>23</v>
      </c>
      <c r="C33" s="20"/>
      <c r="D33" s="20"/>
      <c r="E33" s="28" t="s">
        <v>214</v>
      </c>
      <c r="F33" s="20" t="s">
        <v>541</v>
      </c>
      <c r="G33"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10 is the value of the 10 of Wands. The 10 of Wands is a All Minor cards are indicitive of choice and indicate an element..  The 10 of Wands is the card of Oppression.  Combination of effort. Need for rest and rejuvenation. Release what is no longer needed. The end has arrived and the cycle has run its course. A man is way down by the heavy winds up on his back. Wands are an exhaustive suit because it is the element of passion. Fires can warm us but they can blaze out of control if left unattended. Allow the passion of wands to simmer down so you can build your strength and stamina once again. Everything in life is in flux. Your need of Downtime will soon be replaced with enthusiasm as you spring back to life. For now, take it easy. </v>
      </c>
      <c r="H33" s="27" t="s">
        <v>246</v>
      </c>
      <c r="I33" s="20" t="s">
        <v>319</v>
      </c>
      <c r="J33" s="20" t="s">
        <v>401</v>
      </c>
      <c r="K33" s="20" t="s">
        <v>77</v>
      </c>
      <c r="L33" s="20" t="s">
        <v>146</v>
      </c>
      <c r="M33"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10 of Wands is the card of Burden, responsibilities, taking more than you can handle. The 10 of Wands card´s suit is the suit of the Wands. The card of 10 of Wands is indicitive of Oppression. The 10 of Wands Top number of fulfillment, Harvest Combination of effort. Need for rest and rejuvenation. Release what is no longer needed. The end has arrived and the cycle has run its course. A man is way down by the heavy winds up on his back. Wands are an exhaustive suit because it is the element of passion. Fires can warm us but they can blaze out of control if left unattended. Allow the passion of wands to simmer down so you can build your strength and stamina once again. Everything in life is in flux. Your need of Downtime will soon be replaced with enthusiasm as you spring back to life. For now, take it easy.   The divine message to be found in this card is:  ",[@[Divinatory Meaning]],".</v>
      </c>
      <c r="N33" s="21">
        <v>10</v>
      </c>
      <c r="O33" s="20" t="s">
        <v>465</v>
      </c>
      <c r="P33" s="20" t="s">
        <v>549</v>
      </c>
      <c r="Q33" s="20" t="s">
        <v>579</v>
      </c>
      <c r="R33" s="20" t="s">
        <v>580</v>
      </c>
      <c r="S33" s="20" t="s">
        <v>615</v>
      </c>
      <c r="T33" s="20"/>
      <c r="U33" s="20" t="s">
        <v>590</v>
      </c>
      <c r="V33" s="20" t="s">
        <v>591</v>
      </c>
      <c r="W33"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10 of Wands is represented by the Zodiac sign Sagitarius, Aries, Leo and symbol ♐️ ♈️ ♌️.The element of Fire. It has a Masculine quality and is associated with the color Red and the direction of South. This sign is represented by the  and the stone(s) of Rock Crystal. The Astrological influence is Saturn in Sagittarius .</v>
      </c>
      <c r="X33" s="20" t="s">
        <v>722</v>
      </c>
      <c r="Y33" s="20"/>
      <c r="Z33" s="20" t="s">
        <v>784</v>
      </c>
      <c r="AA33" s="20" t="s">
        <v>785</v>
      </c>
      <c r="AB33" s="20" t="s">
        <v>786</v>
      </c>
    </row>
    <row r="34" spans="1:28" ht="134.25" customHeight="1" x14ac:dyDescent="0.25">
      <c r="A34" s="2" t="s">
        <v>24</v>
      </c>
      <c r="B34" s="21" t="s">
        <v>808</v>
      </c>
      <c r="C34" s="20"/>
      <c r="D34" s="20"/>
      <c r="E34" s="28" t="s">
        <v>215</v>
      </c>
      <c r="F34" s="20" t="s">
        <v>541</v>
      </c>
      <c r="G34" s="22" t="str">
        <f>_xlfn.CONCAT(Table1[[#This Row],[Numerical value]]," is the value of the ",Table1[[#This Row],[Card Name]],". The ",Table1[[#This Row],[Card Name]]," is a ",Table1[[#This Row],[Group Representation]],".  The ", Table1[[#This Row],[Card Name]]," is the card of ",Table1[[#This Row],[Indicitive of]],".  ",Table1[[#This Row],[Radiant Wise Description]])</f>
        <v>King/Father is the value of the King of Wands. The King of Wands is a Pre-destined card of Fate.  Indicate Element and Personality traits. Symbolic-Court cards (16 male, 16 female - Stages of maturity (depending on suit and level of maturity) Court cards represent a combination of Element and Personal.  The King of Wands is the card of Strength, Respect, Successful enterprise.  Passionate and driven personality. Getting things done. Inspiring leader ship. Bold nature driven by integrity. The mature, masculine element of fire. No games, no illusions, the king of wands, tells it like it is, states his goal and moves rapidly toward it. He is charismatic and alluring with the energy of a rockstar or a preacher man. He is likely to charm anyone into seeing things his way. Stating what you want, how you want it, and why you want it.</v>
      </c>
      <c r="H34" s="27" t="s">
        <v>247</v>
      </c>
      <c r="I34" s="20" t="s">
        <v>320</v>
      </c>
      <c r="J34" s="20" t="s">
        <v>402</v>
      </c>
      <c r="K34" s="20" t="s">
        <v>78</v>
      </c>
      <c r="L34" s="20" t="s">
        <v>147</v>
      </c>
      <c r="M34"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King/Father of Wands is the card of Entrepreneur, natural-born leader, visionary, experienced adult. Fire of Fire. The King of Wands card´s suit is the suit of the Wands. The card of King of Wands is indicitive of Strength, Respect, Successful enterprise. The King of Wands Mastery, Power, Strength Passionate and driven personality. Getting things done. Inspiring leader ship. Bold nature driven by integrity. The mature, masculine element of fire. No games, no illusions, the king of wands, tells it like it is, states his goal and moves rapidly toward it. He is charismatic and alluring with the energy of a rockstar or a preacher man. He is likely to charm anyone into seeing things his way. Stating what you want, how you want it, and why you want it.  The divine message to be found in this card is:  ",[@[Divinatory Meaning]],".</v>
      </c>
      <c r="N34" s="21" t="s">
        <v>429</v>
      </c>
      <c r="O34" s="20" t="s">
        <v>466</v>
      </c>
      <c r="P34" s="20" t="s">
        <v>549</v>
      </c>
      <c r="Q34" s="20" t="s">
        <v>579</v>
      </c>
      <c r="R34" s="20" t="s">
        <v>580</v>
      </c>
      <c r="S34" s="20" t="s">
        <v>616</v>
      </c>
      <c r="T34" s="20"/>
      <c r="U34" s="20" t="s">
        <v>590</v>
      </c>
      <c r="V34" s="20" t="s">
        <v>591</v>
      </c>
      <c r="W34"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King of Wands is represented by the Zodiac sign Sagitarius, Aries, Leo and symbol ♐️ ♈️ ♌️.The element of Fire. It has a Masculine quality and is associated with the color Red and the direction of South. This sign is represented by the  and the stone(s) of Star Ruby, Turquoise  . The Astrological influence is Sagittarius, Scorpio .</v>
      </c>
      <c r="X34" s="20" t="s">
        <v>667</v>
      </c>
      <c r="Y34" s="20"/>
      <c r="Z34" s="20" t="s">
        <v>787</v>
      </c>
      <c r="AA34" s="20" t="s">
        <v>788</v>
      </c>
      <c r="AB34" s="20" t="s">
        <v>789</v>
      </c>
    </row>
    <row r="35" spans="1:28" ht="134.25" customHeight="1" x14ac:dyDescent="0.25">
      <c r="A35" s="2" t="s">
        <v>24</v>
      </c>
      <c r="B35" s="21" t="s">
        <v>808</v>
      </c>
      <c r="C35" s="20"/>
      <c r="D35" s="20"/>
      <c r="E35" s="28" t="s">
        <v>216</v>
      </c>
      <c r="F35" s="20" t="s">
        <v>541</v>
      </c>
      <c r="G35" s="22" t="str">
        <f>_xlfn.CONCAT(Table1[[#This Row],[Numerical value]]," is the value of the ",Table1[[#This Row],[Card Name]],". The ",Table1[[#This Row],[Card Name]]," is a ",Table1[[#This Row],[Group Representation]],".  The ", Table1[[#This Row],[Card Name]]," is the card of ",Table1[[#This Row],[Indicitive of]],".  ",Table1[[#This Row],[Radiant Wise Description]])</f>
        <v>Queen/Mother is the value of the Queen of Wands. The Queen of Wands is a Pre-destined card of Fate.  Indicate Element and Personality traits. Symbolic-Court cards (16 male, 16 female - Stages of maturity (depending on suit and level of maturity) Court cards represent a combination of Element and Personal.  The Queen of Wands is the card of Express your creativity and power.  Mature and developed sense of sensuality and sexuality. Charismatic personality who draws people like a moth to a flame. The feminine mastery of fire and embodiment of the suit. Generous devotional energy and a deeply spiritual woman. One who ignites the passions of others and always remains true to her cause. Tireless energy and loyalty to those around her. An actress, public speaker and one who shines in the public guy and empowers those around her.</v>
      </c>
      <c r="H35" s="27" t="s">
        <v>248</v>
      </c>
      <c r="I35" s="20" t="s">
        <v>321</v>
      </c>
      <c r="J35" s="20" t="s">
        <v>403</v>
      </c>
      <c r="K35" s="20" t="s">
        <v>79</v>
      </c>
      <c r="L35" s="20" t="s">
        <v>148</v>
      </c>
      <c r="M35"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Queen/Mother of Wands is the card of Confidence, Independence, Stable Situation. The Queen of Wands card´s suit is the suit of the Wands. The card of Queen of Wands is indicitive of Express your creativity and power. The Queen of Wands Depth, Maturity Mature and developed sense of sensuality and sexuality. Charismatic personality who draws people like a moth to a flame. The feminine mastery of fire and embodiment of the suit. Generous devotional energy and a deeply spiritual woman. One who ignites the passions of others and always remains true to her cause. Tireless energy and loyalty to those around her. An actress, public speaker and one who shines in the public guy and empowers those around her.  The divine message to be found in this card is:  ",[@[Divinatory Meaning]],".</v>
      </c>
      <c r="N35" s="21" t="s">
        <v>430</v>
      </c>
      <c r="O35" s="20" t="s">
        <v>467</v>
      </c>
      <c r="P35" s="20" t="s">
        <v>549</v>
      </c>
      <c r="Q35" s="20" t="s">
        <v>579</v>
      </c>
      <c r="R35" s="20" t="s">
        <v>580</v>
      </c>
      <c r="S35" s="20" t="s">
        <v>617</v>
      </c>
      <c r="T35" s="20"/>
      <c r="U35" s="20" t="s">
        <v>590</v>
      </c>
      <c r="V35" s="20" t="s">
        <v>591</v>
      </c>
      <c r="W35"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Queen of Wands is represented by the Zodiac sign Sagitarius, Aries, Leo and symbol ♐️ ♈️ ♌️.The element of Fire. It has a Masculine quality and is associated with the color Red and the direction of South. This sign is represented by the  and the stone(s) of Star Sapphire, Pearl. The Astrological influence is Aries, Pisces .</v>
      </c>
      <c r="X35" s="20" t="s">
        <v>667</v>
      </c>
      <c r="Y35" s="20"/>
      <c r="Z35" s="20" t="s">
        <v>765</v>
      </c>
      <c r="AA35" s="20" t="s">
        <v>790</v>
      </c>
      <c r="AB35" s="20" t="s">
        <v>791</v>
      </c>
    </row>
    <row r="36" spans="1:28" ht="134.25" customHeight="1" x14ac:dyDescent="0.25">
      <c r="A36" s="2" t="s">
        <v>24</v>
      </c>
      <c r="B36" s="21" t="s">
        <v>808</v>
      </c>
      <c r="C36" s="20"/>
      <c r="D36" s="20"/>
      <c r="E36" s="28" t="s">
        <v>217</v>
      </c>
      <c r="F36" s="20" t="s">
        <v>541</v>
      </c>
      <c r="G36"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Knight/Prince/Young Adult is the value of the Knight of Wands. The Knight of Wands is a Pre-destined card of Fate.  Indicate Element and Personality traits. Symbolic-Court cards (16 male, 16 female - Stages of maturity (depending on suit and level of maturity) Court cards represent a combination of Element and Personal.  The Knight of Wands is the card of The path ahead is clear for dynamic action.  Explosive and unbridled energy. Courage. Daring greatly. Speedy results. Action and idealism. If the night of cups was the poetic, romantic suitor, the night of wands is the sexy, love them and leave them type of guy. He moves in fast with the essence of fire. No one sees him coming and they don’t know what hit them. He is the energy of fire, speed, and seduction. He’s gone before you wake up. He is also the energy you need to complete tasks and get things done at the last minute Or when push comes to shove. </v>
      </c>
      <c r="H36" s="27" t="s">
        <v>249</v>
      </c>
      <c r="I36" s="20" t="s">
        <v>322</v>
      </c>
      <c r="J36" s="20" t="s">
        <v>404</v>
      </c>
      <c r="K36" s="20" t="s">
        <v>80</v>
      </c>
      <c r="L36" s="20" t="s">
        <v>149</v>
      </c>
      <c r="M36"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Knight/Young Adult of Wands is the card of Passion, Inspired Action, Bravery. The Knight of Wands card´s suit is the suit of the Wands. The card of Knight of Wands is indicitive of The path ahead is clear for dynamic action. The Knight of Wands Action, Quest, Movement Explosive and unbridled energy. Courage. Daring greatly. Speedy results. Action and idealism. If the night of cups was the poetic, romantic suitor, the night of wands is the sexy, love them and leave them type of guy. He moves in fast with the essence of fire. No one sees him coming and they don’t know what hit them. He is the energy of fire, speed, and seduction. He’s gone before you wake up. He is also the energy you need to complete tasks and get things done at the last minute Or when push comes to shove.   The divine message to be found in this card is:  ",[@[Divinatory Meaning]],".</v>
      </c>
      <c r="N36" s="21" t="s">
        <v>431</v>
      </c>
      <c r="O36" s="20" t="s">
        <v>468</v>
      </c>
      <c r="P36" s="20" t="s">
        <v>549</v>
      </c>
      <c r="Q36" s="20" t="s">
        <v>579</v>
      </c>
      <c r="R36" s="20" t="s">
        <v>580</v>
      </c>
      <c r="S36" s="20" t="s">
        <v>618</v>
      </c>
      <c r="T36" s="20"/>
      <c r="U36" s="20" t="s">
        <v>590</v>
      </c>
      <c r="V36" s="20" t="s">
        <v>591</v>
      </c>
      <c r="W36"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Knight of Wands is represented by the Zodiac sign Sagitarius, Aries, Leo and symbol ♐️ ♈️ ♌️.The element of Fire. It has a Masculine quality and is associated with the color Red and the direction of South. This sign is represented by the  and the stone(s) of Topaz, Yellow Diamond. The Astrological influence is Leo, Cancer .</v>
      </c>
      <c r="X36" s="20" t="s">
        <v>667</v>
      </c>
      <c r="Y36" s="20"/>
      <c r="Z36" s="20" t="s">
        <v>773</v>
      </c>
      <c r="AA36" s="20" t="s">
        <v>792</v>
      </c>
      <c r="AB36" s="20" t="s">
        <v>793</v>
      </c>
    </row>
    <row r="37" spans="1:28" ht="134.25" customHeight="1" x14ac:dyDescent="0.25">
      <c r="A37" s="2" t="s">
        <v>24</v>
      </c>
      <c r="B37" s="21" t="s">
        <v>808</v>
      </c>
      <c r="C37" s="20"/>
      <c r="D37" s="20"/>
      <c r="E37" s="28" t="s">
        <v>218</v>
      </c>
      <c r="F37" s="20" t="s">
        <v>541</v>
      </c>
      <c r="G37" s="22" t="str">
        <f>_xlfn.CONCAT(Table1[[#This Row],[Numerical value]]," is the value of the ",Table1[[#This Row],[Card Name]],". The ",Table1[[#This Row],[Card Name]]," is a ",Table1[[#This Row],[Group Representation]],".  The ", Table1[[#This Row],[Card Name]]," is the card of ",Table1[[#This Row],[Indicitive of]],".  ",Table1[[#This Row],[Radiant Wise Description]])</f>
        <v>Page/Princess/Child is the value of the Page of Wands. The Page of Wands is a Pre-destined card of Fate.  Indicate Element and Personality traits. Symbolic-Court cards (16 male, 16 female - Stages of maturity (depending on suit and level of maturity) Court cards represent a combination of Element and Personal.  The Page of Wands is the card of Good luck, Opportunities, Gain -(prince)Goals can be attained but it is best to act swiftly, (princess) Lighten up, Dance and Celebrate.  Adventurous and energetic personality. The fall and encompassing energy of youth. Laser focus on souls delight. Passion unfolding. Excitement. Attention towards those things thrilling you on every level. The traveling soul who craves the stimulation of new places, ideas, and vistas. The salamanders on her cloak reflect the fire element. The pyramids in the background represent creativity and manifestation in the real world. The page of wands is a great adventure.</v>
      </c>
      <c r="H37" s="27" t="s">
        <v>250</v>
      </c>
      <c r="I37" s="20" t="s">
        <v>323</v>
      </c>
      <c r="J37" s="20" t="s">
        <v>405</v>
      </c>
      <c r="K37" s="20" t="s">
        <v>81</v>
      </c>
      <c r="L37" s="20" t="s">
        <v>150</v>
      </c>
      <c r="M37"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Page/Child of Wands is the card of Exploration, Energetic young person, inspiration, message. The Page of Wands card´s suit is the suit of the Wands. The card of Page of Wands is indicitive of Good luck, Opportunities, Gain -(prince)Goals can be attained but it is best to act swiftly, (princess) Lighten up, Dance and Celebrate. The Page of Wands Exploration, Seeking, Learning Adventurous and energetic personality. The fall and encompassing energy of youth. Laser focus on souls delight. Passion unfolding. Excitement. Attention towards those things thrilling you on every level. The traveling soul who craves the stimulation of new places, ideas, and vistas. The salamanders on her cloak reflect the fire element. The pyramids in the background represent creativity and manifestation in the real world. The page of wands is a great adventure.  The divine message to be found in this card is:  ",[@[Divinatory Meaning]],".</v>
      </c>
      <c r="N37" s="21" t="s">
        <v>432</v>
      </c>
      <c r="O37" s="20" t="s">
        <v>469</v>
      </c>
      <c r="P37" s="20" t="s">
        <v>549</v>
      </c>
      <c r="Q37" s="20" t="s">
        <v>579</v>
      </c>
      <c r="R37" s="20" t="s">
        <v>580</v>
      </c>
      <c r="S37" s="20" t="s">
        <v>619</v>
      </c>
      <c r="T37" s="20"/>
      <c r="U37" s="20" t="s">
        <v>590</v>
      </c>
      <c r="V37" s="20" t="s">
        <v>591</v>
      </c>
      <c r="W37"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Page of Wands is represented by the Zodiac sign Sagitarius, Aries, Leo and symbol ♐️ ♈️ ♌️.The element of Fire. It has a Masculine quality and is associated with the color Red and the direction of South. This sign is represented by the  and the stone(s) of Rock Crystal. The Astrological influence is Aries, Leo, Sagittarius .</v>
      </c>
      <c r="X37" s="20" t="s">
        <v>667</v>
      </c>
      <c r="Y37" s="20"/>
      <c r="Z37" s="20" t="s">
        <v>784</v>
      </c>
      <c r="AA37" s="20" t="s">
        <v>794</v>
      </c>
      <c r="AB37" s="20" t="s">
        <v>795</v>
      </c>
    </row>
    <row r="38" spans="1:28" ht="134.25" customHeight="1" x14ac:dyDescent="0.25">
      <c r="A38" s="2" t="s">
        <v>22</v>
      </c>
      <c r="B38" s="21" t="s">
        <v>23</v>
      </c>
      <c r="C38" s="20" t="s">
        <v>813</v>
      </c>
      <c r="D38" s="20"/>
      <c r="E38" s="28" t="s">
        <v>160</v>
      </c>
      <c r="F38" s="20" t="s">
        <v>542</v>
      </c>
      <c r="G38" s="22" t="str">
        <f>_xlfn.CONCAT(Table1[[#This Row],[Numerical value]]," is the value of the ",Table1[[#This Row],[Card Name]],". The ",Table1[[#This Row],[Card Name]]," is a ",Table1[[#This Row],[Group Representation]],".  The ", Table1[[#This Row],[Card Name]]," is the card of ",Table1[[#This Row],[Indicitive of]],".  ",Table1[[#This Row],[Radiant Wise Description]])</f>
        <v>Ace is the value of the Ace of Cups. The Ace of Cups is a All Minor cards are indicitive of choice and indicate an element..  The Ace of Cups is the card of Intuit, feel.  A mysterious, glowing hand holds a baptismal cup overflows with the waters of life. A dove, symbolic of the higher realms, descends with a piece wafer bearing a cross reflecting the spiritual merging with the material. Lotus flowers and waterlilies.com waters below reflecting growth and spiritual birth and a connection to all three worlds. Add its essence, this is the card of staying emotionally open and repressing nothing. Emotional flow. Connection. Outpouring.    Open nature. Beginning of love. Heart opener. Forgiveness.</v>
      </c>
      <c r="H38" s="27" t="s">
        <v>251</v>
      </c>
      <c r="I38" s="20" t="s">
        <v>324</v>
      </c>
      <c r="J38" s="20" t="s">
        <v>406</v>
      </c>
      <c r="K38" s="20" t="s">
        <v>82</v>
      </c>
      <c r="L38" s="20" t="s">
        <v>137</v>
      </c>
      <c r="M38"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Ace of Cups is the card of New relationship, Love, Pregnancy, Creativity. The Ace of Cups card´s suit is the suit of the Cups. The card of Ace of Cups is indicitive of Intuit, feel. The Ace of Cups Ace is a Pre-destined card of Fate. New beginnings and opportunities A mysterious, glowing hand holds a baptismal cup overflows with the waters of life. A dove, symbolic of the higher realms, descends with a piece wafer bearing a cross reflecting the spiritual merging with the material. Lotus flowers and waterlilies.com waters below reflecting growth and spiritual birth and a connection to all three worlds. Add its essence, this is the card of staying emotionally open and repressing nothing. Emotional flow. Connection. Outpouring.    Open nature. Beginning of love. Heart opener. Forgiveness.  The divine message to be found in this card is:  ",[@[Divinatory Meaning]],".</v>
      </c>
      <c r="N38" s="21" t="s">
        <v>428</v>
      </c>
      <c r="O38" s="20" t="s">
        <v>470</v>
      </c>
      <c r="P38" s="20" t="s">
        <v>569</v>
      </c>
      <c r="Q38" s="20" t="s">
        <v>581</v>
      </c>
      <c r="R38" s="20" t="s">
        <v>821</v>
      </c>
      <c r="S38" s="20" t="s">
        <v>620</v>
      </c>
      <c r="T38" s="20"/>
      <c r="U38" s="20" t="s">
        <v>596</v>
      </c>
      <c r="V38" s="20" t="s">
        <v>597</v>
      </c>
      <c r="W38"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Ace of Cups is represented by the Zodiac sign Pices, Cancer, Scorpio and symbol ♓ ♋ ♏.The element of Water. It has a Masculine quality and is associated with the color Black and the direction of West. This sign is represented by the  and the stone(s) of Diamond. The Astrological influence is Cancer, Scorpio, Pisces and Spirit of Water. .</v>
      </c>
      <c r="X38" s="20" t="s">
        <v>667</v>
      </c>
      <c r="Y38" s="20"/>
      <c r="Z38" s="20" t="s">
        <v>759</v>
      </c>
      <c r="AA38" s="20" t="s">
        <v>796</v>
      </c>
      <c r="AB38" s="20" t="s">
        <v>797</v>
      </c>
    </row>
    <row r="39" spans="1:28" ht="134.25" customHeight="1" x14ac:dyDescent="0.25">
      <c r="A39" s="2" t="s">
        <v>22</v>
      </c>
      <c r="B39" s="21" t="s">
        <v>23</v>
      </c>
      <c r="C39" s="20"/>
      <c r="D39" s="20"/>
      <c r="E39" s="28" t="s">
        <v>161</v>
      </c>
      <c r="F39" s="20" t="s">
        <v>542</v>
      </c>
      <c r="G39" s="22" t="str">
        <f>_xlfn.CONCAT(Table1[[#This Row],[Numerical value]]," is the value of the ",Table1[[#This Row],[Card Name]],". The ",Table1[[#This Row],[Card Name]]," is a ",Table1[[#This Row],[Group Representation]],".  The ", Table1[[#This Row],[Card Name]]," is the card of ",Table1[[#This Row],[Indicitive of]],".  ",Table1[[#This Row],[Radiant Wise Description]])</f>
        <v>2 is the value of the 2 of Cups. The 2 of Cups is a All Minor cards are indicitive of choice and indicate an element..  The 2 of Cups is the card of Love, partnership amongst equals.  Attraction. Heart recognition of oneself in another. Coming together. Affinity. Soul healing. The two of cups echoes the lovers card as two figures approach one another. A house, implying domestic Bliss and homemaking sits behind them reflecting cohabitation. It is the card of masculine and feminine in balance and can be read metaphorically. It is the card of finding what you love applied in all areas of your life.</v>
      </c>
      <c r="H39" s="27" t="s">
        <v>252</v>
      </c>
      <c r="I39" s="20" t="s">
        <v>325</v>
      </c>
      <c r="J39" s="20" t="s">
        <v>407</v>
      </c>
      <c r="K39" s="20" t="s">
        <v>83</v>
      </c>
      <c r="L39" s="20" t="s">
        <v>138</v>
      </c>
      <c r="M39"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2 of Cups is the card of Mutual Love, partnership, balance, soul mates. The 2 of Cups card´s suit is the suit of the Cups. The card of 2 of Cups is indicitive of Love, partnership amongst equals. The 2 of Cups Partnership, Balance Attraction. Heart recognition of oneself in another. Coming together. Affinity. Soul healing. The two of cups echoes the lovers card as two figures approach one another. A house, implying domestic Bliss and homemaking sits behind them reflecting cohabitation. It is the card of masculine and feminine in balance and can be read metaphorically. It is the card of finding what you love applied in all areas of your life.  The divine message to be found in this card is:  ",[@[Divinatory Meaning]],".</v>
      </c>
      <c r="N39" s="21">
        <v>2</v>
      </c>
      <c r="O39" s="20" t="s">
        <v>471</v>
      </c>
      <c r="P39" s="20" t="s">
        <v>569</v>
      </c>
      <c r="Q39" s="20" t="s">
        <v>581</v>
      </c>
      <c r="R39" s="20" t="s">
        <v>821</v>
      </c>
      <c r="S39" s="20" t="s">
        <v>621</v>
      </c>
      <c r="T39" s="20"/>
      <c r="U39" s="20" t="s">
        <v>596</v>
      </c>
      <c r="V39" s="20" t="s">
        <v>597</v>
      </c>
      <c r="W39"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2 of Cups is represented by the Zodiac sign Pices, Cancer, Scorpio and symbol ♓ ♋ ♏.The element of Water. It has a Masculine quality and is associated with the color Black and the direction of West. This sign is represented by the  and the stone(s) of Star Ruby, Turquoise. The Astrological influence is  Venus in Cancer .</v>
      </c>
      <c r="X39" s="20" t="s">
        <v>667</v>
      </c>
      <c r="Y39" s="20"/>
      <c r="Z39" s="20" t="s">
        <v>798</v>
      </c>
      <c r="AA39" s="20" t="s">
        <v>799</v>
      </c>
      <c r="AB39" s="20" t="s">
        <v>800</v>
      </c>
    </row>
    <row r="40" spans="1:28" ht="134.25" customHeight="1" x14ac:dyDescent="0.25">
      <c r="A40" s="2" t="s">
        <v>22</v>
      </c>
      <c r="B40" s="21" t="s">
        <v>23</v>
      </c>
      <c r="C40" s="20"/>
      <c r="D40" s="20"/>
      <c r="E40" s="28" t="s">
        <v>162</v>
      </c>
      <c r="F40" s="20" t="s">
        <v>542</v>
      </c>
      <c r="G40" s="22" t="str">
        <f>_xlfn.CONCAT(Table1[[#This Row],[Numerical value]]," is the value of the ",Table1[[#This Row],[Card Name]],". The ",Table1[[#This Row],[Card Name]]," is a ",Table1[[#This Row],[Group Representation]],".  The ", Table1[[#This Row],[Card Name]]," is the card of ",Table1[[#This Row],[Indicitive of]],".  ",Table1[[#This Row],[Radiant Wise Description]])</f>
        <v>3 is the value of the 3 of Cups. The 3 of Cups is a All Minor cards are indicitive of choice and indicate an element..  The 3 of Cups is the card of Emotional abundance.  Joy shared with others. Friendship and celebration. The manifestation of love and warm feelings. The cups reflect the sacred triad of creativity and growth. Pumpkins and fruits and play growth. This card reminds the reader to share with others. Empowering others increases everyone’s happiness, health, and wealth. Surround yourself with people who lift you up.</v>
      </c>
      <c r="H40" s="27" t="s">
        <v>253</v>
      </c>
      <c r="I40" s="20" t="s">
        <v>326</v>
      </c>
      <c r="J40" s="20" t="s">
        <v>408</v>
      </c>
      <c r="K40" s="20" t="s">
        <v>84</v>
      </c>
      <c r="L40" s="20" t="s">
        <v>139</v>
      </c>
      <c r="M40"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3 of Cups is the card of Celebration, Party, Supportive Friends, baby shower, uniting with others. The 3 of Cups card´s suit is the suit of the Cups. The card of 3 of Cups is indicitive of Emotional abundance. The 3 of Cups Trinity, Magic Joy shared with others. Friendship and celebration. The manifestation of love and warm feelings. The cups reflect the sacred triad of creativity and growth. Pumpkins and fruits and play growth. This card reminds the reader to share with others. Empowering others increases everyone’s happiness, health, and wealth. Surround yourself with people who lift you up.  The divine message to be found in this card is:  ",[@[Divinatory Meaning]],".</v>
      </c>
      <c r="N40" s="21">
        <v>3</v>
      </c>
      <c r="O40" s="20" t="s">
        <v>472</v>
      </c>
      <c r="P40" s="20" t="s">
        <v>569</v>
      </c>
      <c r="Q40" s="20" t="s">
        <v>581</v>
      </c>
      <c r="R40" s="20" t="s">
        <v>821</v>
      </c>
      <c r="S40" s="20" t="s">
        <v>622</v>
      </c>
      <c r="T40" s="20"/>
      <c r="U40" s="20" t="s">
        <v>596</v>
      </c>
      <c r="V40" s="20" t="s">
        <v>597</v>
      </c>
      <c r="W40"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3 of Cups is represented by the Zodiac sign Pices, Cancer, Scorpio and symbol ♓ ♋ ♏.The element of Water. It has a Masculine quality and is associated with the color Black and the direction of West. This sign is represented by the  and the stone(s) of Star Sapphire, Pearl. The Astrological influence is Mercury in Cancer .</v>
      </c>
      <c r="X40" s="20" t="s">
        <v>667</v>
      </c>
      <c r="Y40" s="20"/>
      <c r="Z40" s="20" t="s">
        <v>765</v>
      </c>
      <c r="AA40" s="20" t="s">
        <v>801</v>
      </c>
      <c r="AB40" s="20" t="s">
        <v>802</v>
      </c>
    </row>
    <row r="41" spans="1:28" ht="134.25" customHeight="1" x14ac:dyDescent="0.25">
      <c r="A41" s="2" t="s">
        <v>22</v>
      </c>
      <c r="B41" s="21" t="s">
        <v>23</v>
      </c>
      <c r="C41" s="20"/>
      <c r="D41" s="20"/>
      <c r="E41" s="28" t="s">
        <v>181</v>
      </c>
      <c r="F41" s="20" t="s">
        <v>542</v>
      </c>
      <c r="G41" s="22" t="str">
        <f>_xlfn.CONCAT(Table1[[#This Row],[Numerical value]]," is the value of the ",Table1[[#This Row],[Card Name]],". The ",Table1[[#This Row],[Card Name]]," is a ",Table1[[#This Row],[Group Representation]],".  The ", Table1[[#This Row],[Card Name]]," is the card of ",Table1[[#This Row],[Indicitive of]],".  ",Table1[[#This Row],[Radiant Wise Description]])</f>
        <v>4 is the value of the 4 of Cups. The 4 of Cups is a All Minor cards are indicitive of choice and indicate an element..  The 4 of Cups is the card of Rejection-Luxury, excess.  And opportunity is right before you yet you do not see. Distraction, disappointment and boredom. Buddha Under the bodhi tree. Closed too emotional energy. It is impossible to see all of life’s opportunities coming at you. Life offers sensory overload. Yet, it is good practice to remind one’s self to stay open for unexpected and outside the box opportunities. Use this cards appearance as an opportunity to broaden your vision. Pleasure and possibility is yours to be had. Will you claim it?</v>
      </c>
      <c r="H41" s="27" t="s">
        <v>254</v>
      </c>
      <c r="I41" s="20" t="s">
        <v>327</v>
      </c>
      <c r="J41" s="20" t="s">
        <v>409</v>
      </c>
      <c r="K41" s="20" t="s">
        <v>85</v>
      </c>
      <c r="L41" s="20" t="s">
        <v>140</v>
      </c>
      <c r="M41"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4 of Cups is the card of Regret, refusing offers, missed opportunities, stagnation, apathy, disillusion, focusing on the negative, self-absorption, depression, boredom, nostalgia, remorse, yearning, frustration, weariness, meditation, day-dreaming, fantasizing . The 4 of Cups card´s suit is the suit of the Cups. The card of 4 of Cups is indicitive of Rejection-Luxury, excess. The 4 of Cups Foundation, Completion And opportunity is right before you yet you do not see. Distraction, disappointment and boredom. Buddha Under the bodhi tree. Closed too emotional energy. It is impossible to see all of life’s opportunities coming at you. Life offers sensory overload. Yet, it is good practice to remind one’s self to stay open for unexpected and outside the box opportunities. Use this cards appearance as an opportunity to broaden your vision. Pleasure and possibility is yours to be had. Will you claim it?  The divine message to be found in this card is:  ",[@[Divinatory Meaning]],".</v>
      </c>
      <c r="N41" s="21">
        <v>4</v>
      </c>
      <c r="O41" s="20" t="s">
        <v>473</v>
      </c>
      <c r="P41" s="20" t="s">
        <v>569</v>
      </c>
      <c r="Q41" s="20" t="s">
        <v>581</v>
      </c>
      <c r="R41" s="20" t="s">
        <v>821</v>
      </c>
      <c r="S41" s="20" t="s">
        <v>623</v>
      </c>
      <c r="T41" s="20"/>
      <c r="U41" s="20" t="s">
        <v>596</v>
      </c>
      <c r="V41" s="20" t="s">
        <v>597</v>
      </c>
      <c r="W41"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4 of Cups is represented by the Zodiac sign Pices, Cancer, Scorpio and symbol ♓ ♋ ♏.The element of Water. It has a Masculine quality and is associated with the color Black and the direction of West. This sign is represented by the  and the stone(s) of . The Astrological influence is Moon in Cancer .</v>
      </c>
      <c r="X41" s="20"/>
      <c r="Y41" s="20"/>
      <c r="Z41" s="20"/>
      <c r="AA41" s="20"/>
      <c r="AB41" s="20"/>
    </row>
    <row r="42" spans="1:28" ht="134.25" customHeight="1" x14ac:dyDescent="0.25">
      <c r="A42" s="2" t="s">
        <v>22</v>
      </c>
      <c r="B42" s="21" t="s">
        <v>23</v>
      </c>
      <c r="C42" s="20"/>
      <c r="D42" s="20"/>
      <c r="E42" s="28" t="s">
        <v>182</v>
      </c>
      <c r="F42" s="20" t="s">
        <v>542</v>
      </c>
      <c r="G42" s="22" t="str">
        <f>_xlfn.CONCAT(Table1[[#This Row],[Numerical value]]," is the value of the ",Table1[[#This Row],[Card Name]],". The ",Table1[[#This Row],[Card Name]]," is a ",Table1[[#This Row],[Group Representation]],".  The ", Table1[[#This Row],[Card Name]]," is the card of ",Table1[[#This Row],[Indicitive of]],".  ",Table1[[#This Row],[Radiant Wise Description]])</f>
        <v>5 is the value of the 5 of Cups. The 5 of Cups is a All Minor cards are indicitive of choice and indicate an element..  The 5 of Cups is the card of Dissappointment, depression.  Addiction and sadness. Do you have the strength to walk away? The figure cloaked in the black looks upon 3 cups in dejection and depression. Fluid from the cups spills across the ground. 2 cups stand behind him. Will he reach back and take more of the same or will he have the courage to cross the bridge over the river without looking back. The prize weights inside the castle. Will he claim it? Decide for him with personal action.</v>
      </c>
      <c r="H42" s="27" t="s">
        <v>255</v>
      </c>
      <c r="I42" s="20" t="s">
        <v>328</v>
      </c>
      <c r="J42" s="20" t="s">
        <v>410</v>
      </c>
      <c r="K42" s="20" t="s">
        <v>86</v>
      </c>
      <c r="L42" s="20" t="s">
        <v>141</v>
      </c>
      <c r="M42"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5 of Cups is the card of Sadness, loss, grief, despair, abandonment, guilt, remorse, regret, trauma, bereavement, mourning, heartbreak, unwelcome change, emotional instability, focusing on loss, focusing on negative emotions, isolation, loneliness, emotional baggage, divorce, separation, anger, disappointment. The 5 of Cups card´s suit is the suit of the Cups. The card of 5 of Cups is indicitive of Dissappointment, depression. The 5 of Cups Strife, Chaos Addiction and sadness. Do you have the strength to walk away? The figure cloaked in the black looks upon 3 cups in dejection and depression. Fluid from the cups spills across the ground. 2 cups stand behind him. Will he reach back and take more of the same or will he have the courage to cross the bridge over the river without looking back. The prize weights inside the castle. Will he claim it? Decide for him with personal action.  The divine message to be found in this card is:  ",[@[Divinatory Meaning]],".</v>
      </c>
      <c r="N42" s="21">
        <v>5</v>
      </c>
      <c r="O42" s="20" t="s">
        <v>474</v>
      </c>
      <c r="P42" s="20" t="s">
        <v>569</v>
      </c>
      <c r="Q42" s="20" t="s">
        <v>581</v>
      </c>
      <c r="R42" s="20" t="s">
        <v>821</v>
      </c>
      <c r="S42" s="20" t="s">
        <v>624</v>
      </c>
      <c r="T42" s="20"/>
      <c r="U42" s="20" t="s">
        <v>596</v>
      </c>
      <c r="V42" s="20" t="s">
        <v>597</v>
      </c>
      <c r="W42"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5 of Cups is represented by the Zodiac sign Pices, Cancer, Scorpio and symbol ♓ ♋ ♏.The element of Water. It has a Masculine quality and is associated with the color Black and the direction of West. This sign is represented by the  and the stone(s) of . The Astrological influence is Mars in Scorpio .</v>
      </c>
      <c r="X42" s="20"/>
      <c r="Y42" s="20"/>
      <c r="Z42" s="20"/>
      <c r="AA42" s="20"/>
      <c r="AB42" s="20"/>
    </row>
    <row r="43" spans="1:28" ht="134.25" customHeight="1" x14ac:dyDescent="0.25">
      <c r="A43" s="2" t="s">
        <v>22</v>
      </c>
      <c r="B43" s="21" t="s">
        <v>23</v>
      </c>
      <c r="C43" s="20"/>
      <c r="D43" s="20"/>
      <c r="E43" s="28" t="s">
        <v>183</v>
      </c>
      <c r="F43" s="20" t="s">
        <v>542</v>
      </c>
      <c r="G43" s="22" t="str">
        <f>_xlfn.CONCAT(Table1[[#This Row],[Numerical value]]," is the value of the ",Table1[[#This Row],[Card Name]],". The ",Table1[[#This Row],[Card Name]]," is a ",Table1[[#This Row],[Group Representation]],".  The ", Table1[[#This Row],[Card Name]]," is the card of ",Table1[[#This Row],[Indicitive of]],".  ",Table1[[#This Row],[Radiant Wise Description]])</f>
        <v>6 is the value of the 6 of Cups. The 6 of Cups is a All Minor cards are indicitive of choice and indicate an element..  The 6 of Cups is the card of Pleasure, Joy.  Gifts of the heart. A walk down memory lane. Kindness. Sharing. Protection. Two children share a cup inside a wall Tuscan Hilltown. Flowers sprout from the cups in playing growth and manifestation in the real world. The figure of an adult man, perhaps a soldier, walks away implying this is a space of youth. Old situation slip away. The cup exchange between the children reflects gifts of the heart.</v>
      </c>
      <c r="H43" s="27" t="s">
        <v>256</v>
      </c>
      <c r="I43" s="20" t="s">
        <v>329</v>
      </c>
      <c r="J43" s="20" t="s">
        <v>411</v>
      </c>
      <c r="K43" s="20" t="s">
        <v>87</v>
      </c>
      <c r="L43" s="20" t="s">
        <v>142</v>
      </c>
      <c r="M43"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6 of Cups is the card of Children, childhood memories, past influences, yearning, homesickness, nostalgia, reunions, playfulness, youthfulness, innocence, creativity, kindness, goodwill, simplicity, childishness, immaturity, sharing, gifts, charity, family, support, protection, childhood issues, childhood abuse. The 6 of Cups card´s suit is the suit of the Cups. The card of 6 of Cups is indicitive of Pleasure, Joy. The 6 of Cups Perfection, Beauty Gifts of the heart. A walk down memory lane. Kindness. Sharing. Protection. Two children share a cup inside a wall Tuscan Hilltown. Flowers sprout from the cups in playing growth and manifestation in the real world. The figure of an adult man, perhaps a soldier, walks away implying this is a space of youth. Old situation slip away. The cup exchange between the children reflects gifts of the heart.  The divine message to be found in this card is:  ",[@[Divinatory Meaning]],".</v>
      </c>
      <c r="N43" s="21">
        <v>6</v>
      </c>
      <c r="O43" s="20" t="s">
        <v>475</v>
      </c>
      <c r="P43" s="20" t="s">
        <v>569</v>
      </c>
      <c r="Q43" s="20" t="s">
        <v>581</v>
      </c>
      <c r="R43" s="20" t="s">
        <v>821</v>
      </c>
      <c r="S43" s="20" t="s">
        <v>625</v>
      </c>
      <c r="T43" s="20"/>
      <c r="U43" s="20" t="s">
        <v>596</v>
      </c>
      <c r="V43" s="20" t="s">
        <v>597</v>
      </c>
      <c r="W43"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6 of Cups is represented by the Zodiac sign Pices, Cancer, Scorpio and symbol ♓ ♋ ♏.The element of Water. It has a Masculine quality and is associated with the color Black and the direction of West. This sign is represented by the  and the stone(s) of . The Astrological influence is Sun in Scorpio .</v>
      </c>
      <c r="X43" s="20"/>
      <c r="Y43" s="20"/>
      <c r="Z43" s="20"/>
      <c r="AA43" s="20"/>
      <c r="AB43" s="20"/>
    </row>
    <row r="44" spans="1:28" ht="134.25" customHeight="1" x14ac:dyDescent="0.25">
      <c r="A44" s="2" t="s">
        <v>22</v>
      </c>
      <c r="B44" s="21" t="s">
        <v>23</v>
      </c>
      <c r="C44" s="20"/>
      <c r="D44" s="20"/>
      <c r="E44" s="28" t="s">
        <v>163</v>
      </c>
      <c r="F44" s="20" t="s">
        <v>542</v>
      </c>
      <c r="G44"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7 is the value of the 7 of Cups. The 7 of Cups is a All Minor cards are indicitive of choice and indicate an element..  The 7 of Cups is the card of Debauchery, Chaos.  The card reflects illusions. It also reflects multiple choices. The figure is in darkness while the cups are illuminated. Perhaps, all the world is but a dream. 7 cups appear on the air as it displayed by a movie projector. Each cups holds dazzling possibility, Jules, wealth, and beauty. This card appears as if to ask what is tempting you? Would reality be as delicious as fantasy? All possibilities are on the table. Only the mind limits what we can do. Options. Visions of dreams coming true. Wild Imagination. </v>
      </c>
      <c r="H44" s="27" t="s">
        <v>257</v>
      </c>
      <c r="I44" s="20" t="s">
        <v>330</v>
      </c>
      <c r="J44" s="20" t="s">
        <v>412</v>
      </c>
      <c r="K44" s="20" t="s">
        <v>88</v>
      </c>
      <c r="L44" s="20" t="s">
        <v>143</v>
      </c>
      <c r="M44"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7 of Cups is the card of Lots of options, choices, multiple possibilities, opportunities, picking and choosing, decisions, procrastination, dreaming, fantasy, illusion, wishful thinking, imagination, hallucinations, meditation. The 7 of Cups card´s suit is the suit of the Cups. The card of 7 of Cups is indicitive of Debauchery, Chaos. The 7 of Cups Spiritual Seeking, Questing The card reflects illusions. It also reflects multiple choices. The figure is in darkness while the cups are illuminated. Perhaps, all the world is but a dream. 7 cups appear on the air as it displayed by a movie projector. Each cups holds dazzling possibility, Jules, wealth, and beauty. This card appears as if to ask what is tempting you? Would reality be as delicious as fantasy? All possibilities are on the table. Only the mind limits what we can do. Options. Visions of dreams coming true. Wild Imagination.   The divine message to be found in this card is:  ",[@[Divinatory Meaning]],".</v>
      </c>
      <c r="N44" s="21">
        <v>7</v>
      </c>
      <c r="O44" s="20" t="s">
        <v>476</v>
      </c>
      <c r="P44" s="20" t="s">
        <v>569</v>
      </c>
      <c r="Q44" s="20" t="s">
        <v>581</v>
      </c>
      <c r="R44" s="20" t="s">
        <v>821</v>
      </c>
      <c r="S44" s="20" t="s">
        <v>626</v>
      </c>
      <c r="T44" s="20"/>
      <c r="U44" s="20" t="s">
        <v>596</v>
      </c>
      <c r="V44" s="20" t="s">
        <v>597</v>
      </c>
      <c r="W44"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7 of Cups is represented by the Zodiac sign Pices, Cancer, Scorpio and symbol ♓ ♋ ♏.The element of Water. It has a Masculine quality and is associated with the color Black and the direction of West. This sign is represented by the  and the stone(s) of . The Astrological influence is Venus in Scorpio .</v>
      </c>
      <c r="X44" s="20"/>
      <c r="Y44" s="20"/>
      <c r="Z44" s="20"/>
      <c r="AA44" s="20"/>
      <c r="AB44" s="20"/>
    </row>
    <row r="45" spans="1:28" ht="134.25" customHeight="1" x14ac:dyDescent="0.25">
      <c r="A45" s="2" t="s">
        <v>22</v>
      </c>
      <c r="B45" s="21" t="s">
        <v>23</v>
      </c>
      <c r="C45" s="20"/>
      <c r="D45" s="20"/>
      <c r="E45" s="28" t="s">
        <v>184</v>
      </c>
      <c r="F45" s="20" t="s">
        <v>542</v>
      </c>
      <c r="G45" s="22" t="str">
        <f>_xlfn.CONCAT(Table1[[#This Row],[Numerical value]]," is the value of the ",Table1[[#This Row],[Card Name]],". The ",Table1[[#This Row],[Card Name]]," is a ",Table1[[#This Row],[Group Representation]],".  The ", Table1[[#This Row],[Card Name]]," is the card of ",Table1[[#This Row],[Indicitive of]],".  ",Table1[[#This Row],[Radiant Wise Description]])</f>
        <v>8 is the value of the 8 of Cups. The 8 of Cups is a All Minor cards are indicitive of choice and indicate an element..  The 8 of Cups is the card of Indolence, Laziness.  Journey. Above and beyond. Leaving behind what has been gained to move forward. The eclipse pictured on the card marks a unique moment in time posed by the eight of cups. It shines a super natural light upon the beginning of a journey that can only be undertaken in full maturity. The hermit sets out on his path to the Mountains where he will eventually shine his light. The journey is solitary in nature and reflects relying on the strength of the self. Nothing will ever be the same as you forge a new path.</v>
      </c>
      <c r="H45" s="27" t="s">
        <v>258</v>
      </c>
      <c r="I45" s="20" t="s">
        <v>331</v>
      </c>
      <c r="J45" s="20" t="s">
        <v>413</v>
      </c>
      <c r="K45" s="20" t="s">
        <v>89</v>
      </c>
      <c r="L45" s="20" t="s">
        <v>144</v>
      </c>
      <c r="M45"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8 of Cups is the card of Abandonment, abandoning plans, walking away, letting go, travelling, escapism, reaching limit, self-analysis, self-discovery, introspection, looking deeper, withdrawal, disappointment, looking for the truth, loneliness, leaving a bad situation, emotional strength, courage, fatigue, weariness. The 8 of Cups card´s suit is the suit of the Cups. The card of 8 of Cups is indicitive of Indolence, Laziness. The 8 of Cups Infinity, Stability Journey. Above and beyond. Leaving behind what has been gained to move forward. The eclipse pictured on the card marks a unique moment in time posed by the eight of cups. It shines a super natural light upon the beginning of a journey that can only be undertaken in full maturity. The hermit sets out on his path to the Mountains where he will eventually shine his light. The journey is solitary in nature and reflects relying on the strength of the self. Nothing will ever be the same as you forge a new path.  The divine message to be found in this card is:  ",[@[Divinatory Meaning]],".</v>
      </c>
      <c r="N45" s="21">
        <v>8</v>
      </c>
      <c r="O45" s="20" t="s">
        <v>477</v>
      </c>
      <c r="P45" s="20" t="s">
        <v>569</v>
      </c>
      <c r="Q45" s="20" t="s">
        <v>581</v>
      </c>
      <c r="R45" s="20" t="s">
        <v>821</v>
      </c>
      <c r="S45" s="20" t="s">
        <v>627</v>
      </c>
      <c r="T45" s="20"/>
      <c r="U45" s="20" t="s">
        <v>596</v>
      </c>
      <c r="V45" s="20" t="s">
        <v>597</v>
      </c>
      <c r="W45"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8 of Cups is represented by the Zodiac sign Pices, Cancer, Scorpio and symbol ♓ ♋ ♏.The element of Water. It has a Masculine quality and is associated with the color Black and the direction of West. This sign is represented by the  and the stone(s) of . The Astrological influence is Saturn in Pisces .</v>
      </c>
      <c r="X45" s="20"/>
      <c r="Y45" s="20"/>
      <c r="Z45" s="20"/>
      <c r="AA45" s="20"/>
      <c r="AB45" s="20"/>
    </row>
    <row r="46" spans="1:28" ht="134.25" customHeight="1" x14ac:dyDescent="0.25">
      <c r="A46" s="2" t="s">
        <v>22</v>
      </c>
      <c r="B46" s="21" t="s">
        <v>23</v>
      </c>
      <c r="C46" s="20"/>
      <c r="D46" s="20"/>
      <c r="E46" s="28" t="s">
        <v>185</v>
      </c>
      <c r="F46" s="20" t="s">
        <v>542</v>
      </c>
      <c r="G46"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9 is the value of the 9 of Cups. The 9 of Cups is a All Minor cards are indicitive of choice and indicate an element..  The 9 of Cups is the card of Happiness.  Your wish is granted. Success. Pleasure. A genius it ready to grant your wish. He is full of glee and delight as your dream comes true. 9 cups set up on a curve table with a cloth concealing the hidden properties of what they lay beneath. Be careful what you wish for. We do not always know what is best for us. Imagine if everything you desperately wanted came true? The nine of cups appears to remind us of life‘s magic in the energetics power lying within you. It also reminds you to use responsibility and Love needed to create meaningful goals, wishes, and dreams. Do they serve your highest self? Is your desire true to your deepest self or has it been planted by the needs of another? Does your desire serve others? If so, all the better. Honoring natural gifts, talents, and impulses is the best way to enjoy satisfying wish fulfillment.      </v>
      </c>
      <c r="H46" s="27" t="s">
        <v>259</v>
      </c>
      <c r="I46" s="20" t="s">
        <v>332</v>
      </c>
      <c r="J46" s="20" t="s">
        <v>414</v>
      </c>
      <c r="K46" s="20" t="s">
        <v>90</v>
      </c>
      <c r="L46" s="20" t="s">
        <v>145</v>
      </c>
      <c r="M46"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9 of Cups is the card of Wishes coming true, realising dreams, happiness, cheerfulness, joy,  fulfilment, positivity, optimism, satisfaction, success, abundance, prosperity, achievements, rewards, confidence, high self-esteem, triumph, celebrating, entertaining, fame, acclaim, recognition, pleasure, sex, sensuality, pampering. The 9 of Cups card´s suit is the suit of the Cups. The card of 9 of Cups is indicitive of Happiness. The 9 of Cups Master # of magic, Highest single digit number Your wish is granted. Success. Pleasure. A genius it ready to grant your wish. He is full of glee and delight as your dream comes true. 9 cups set up on a curve table with a cloth concealing the hidden properties of what they lay beneath. Be careful what you wish for. We do not always know what is best for us. Imagine if everything you desperately wanted came true? The nine of cups appears to remind us of life‘s magic in the energetics power lying within you. It also reminds you to use responsibility and Love needed to create meaningful goals, wishes, and dreams. Do they serve your highest self? Is your desire true to your deepest self or has it been planted by the needs of another? Does your desire serve others? If so, all the better. Honoring natural gifts, talents, and impulses is the best way to enjoy satisfying wish fulfillment.        The divine message to be found in this card is:  ",[@[Divinatory Meaning]],".</v>
      </c>
      <c r="N46" s="21">
        <v>9</v>
      </c>
      <c r="O46" s="20" t="s">
        <v>478</v>
      </c>
      <c r="P46" s="20" t="s">
        <v>569</v>
      </c>
      <c r="Q46" s="20" t="s">
        <v>581</v>
      </c>
      <c r="R46" s="20" t="s">
        <v>821</v>
      </c>
      <c r="S46" s="20" t="s">
        <v>628</v>
      </c>
      <c r="T46" s="20"/>
      <c r="U46" s="20" t="s">
        <v>596</v>
      </c>
      <c r="V46" s="20" t="s">
        <v>597</v>
      </c>
      <c r="W46"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9 of Cups is represented by the Zodiac sign Pices, Cancer, Scorpio and symbol ♓ ♋ ♏.The element of Water. It has a Masculine quality and is associated with the color Black and the direction of West. This sign is represented by the  and the stone(s) of . The Astrological influence is Jupiter in Pisces .</v>
      </c>
      <c r="X46" s="20"/>
      <c r="Y46" s="20"/>
      <c r="Z46" s="20"/>
      <c r="AA46" s="20"/>
      <c r="AB46" s="20"/>
    </row>
    <row r="47" spans="1:28" ht="134.25" customHeight="1" x14ac:dyDescent="0.25">
      <c r="A47" s="2" t="s">
        <v>22</v>
      </c>
      <c r="B47" s="21" t="s">
        <v>23</v>
      </c>
      <c r="C47" s="20"/>
      <c r="D47" s="20"/>
      <c r="E47" s="28" t="s">
        <v>186</v>
      </c>
      <c r="F47" s="20" t="s">
        <v>542</v>
      </c>
      <c r="G47"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10 is the value of the 10 of Cups. The 10 of Cups is a All Minor cards are indicitive of choice and indicate an element..  The 10 of Cups is the card of Satisfaction, Contentment.  Happily ever after. Sweet and playful culmination of the heart. Family. Conclusion. The finale and ending. A happy family is seen below a shimmering rainbow. The mother and father raise their arms to the sky while children frolic and play. It is the fairytale happily ever after card the picture offers a standard Disney fied vision of happiness. Our personal happily ever after would likely look wildly different from the scene illustrated here. Once again, the tarot offers a generic Image to serve as a metaphor for our lives, this particular one, ends in a satisfied conclusion.      </v>
      </c>
      <c r="H47" s="27" t="s">
        <v>260</v>
      </c>
      <c r="I47" s="20" t="s">
        <v>333</v>
      </c>
      <c r="J47" s="20" t="s">
        <v>415</v>
      </c>
      <c r="K47" s="20" t="s">
        <v>91</v>
      </c>
      <c r="L47" s="20" t="s">
        <v>146</v>
      </c>
      <c r="M47"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10 of Cups is the card of Happiness, family,  happy families, reunions, homecomings, family gatherings, marriage, long term relationships, stability, security, harmony, abundance, domestic bliss, happy ever after, caring, children, fun, play, creativity, soulmates, fate, destiny, good luck, blessings,  well-being, fulfilment. The 10 of Cups card´s suit is the suit of the Cups. The card of 10 of Cups is indicitive of Satisfaction, Contentment. The 10 of Cups Top number of fulfillment, Harvest Happily ever after. Sweet and playful culmination of the heart. Family. Conclusion. The finale and ending. A happy family is seen below a shimmering rainbow. The mother and father raise their arms to the sky while children frolic and play. It is the fairytale happily ever after card the picture offers a standard Disney fied vision of happiness. Our personal happily ever after would likely look wildly different from the scene illustrated here. Once again, the tarot offers a generic Image to serve as a metaphor for our lives, this particular one, ends in a satisfied conclusion.        The divine message to be found in this card is:  ",[@[Divinatory Meaning]],".</v>
      </c>
      <c r="N47" s="21">
        <v>10</v>
      </c>
      <c r="O47" s="20" t="s">
        <v>479</v>
      </c>
      <c r="P47" s="20" t="s">
        <v>569</v>
      </c>
      <c r="Q47" s="20" t="s">
        <v>581</v>
      </c>
      <c r="R47" s="20" t="s">
        <v>821</v>
      </c>
      <c r="S47" s="20" t="s">
        <v>629</v>
      </c>
      <c r="T47" s="20"/>
      <c r="U47" s="20" t="s">
        <v>596</v>
      </c>
      <c r="V47" s="20" t="s">
        <v>597</v>
      </c>
      <c r="W47"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10 of Cups is represented by the Zodiac sign Pices, Cancer, Scorpio and symbol ♓ ♋ ♏.The element of Water. It has a Masculine quality and is associated with the color Black and the direction of West. This sign is represented by the  and the stone(s) of . The Astrological influence is Mars in Pisces .</v>
      </c>
      <c r="X47" s="20"/>
      <c r="Y47" s="20"/>
      <c r="Z47" s="20"/>
      <c r="AA47" s="20"/>
      <c r="AB47" s="20"/>
    </row>
    <row r="48" spans="1:28" ht="134.25" customHeight="1" x14ac:dyDescent="0.25">
      <c r="A48" s="2" t="s">
        <v>24</v>
      </c>
      <c r="B48" s="21" t="s">
        <v>808</v>
      </c>
      <c r="C48" s="20"/>
      <c r="D48" s="20"/>
      <c r="E48" s="28" t="s">
        <v>187</v>
      </c>
      <c r="F48" s="20" t="s">
        <v>542</v>
      </c>
      <c r="G48" s="22" t="str">
        <f>_xlfn.CONCAT(Table1[[#This Row],[Numerical value]]," is the value of the ",Table1[[#This Row],[Card Name]],". The ",Table1[[#This Row],[Card Name]]," is a ",Table1[[#This Row],[Group Representation]],".  The ", Table1[[#This Row],[Card Name]]," is the card of ",Table1[[#This Row],[Indicitive of]],".  ",Table1[[#This Row],[Radiant Wise Description]])</f>
        <v>King/Father is the value of the King of Cups. The King of Cups is a Pre-destined card of Fate.  Indicate Element and Personality traits. Symbolic-Court cards (16 male, 16 female - Stages of maturity (depending on suit and level of maturity) Court cards represent a combination of Element and Personal.  The King of Cups is the card of Kindness, Charity, Artistic potential.  Use the king of cups to plot your true course. The king of cups is the master of feeling. Deep, masculine, emotion and empathy. Expression and eloquent and impactful ways. As such, he commands the realms of art and culture. A creative genius with the ability to inspire others through his presence and his work around him. He can look danger in the face and navigate around it. Creative genius. Visionary. Artistic mastery and success. Adapting to life’s ebbs and flows. Rolling with the punches while remaining effective and productive .</v>
      </c>
      <c r="H48" s="27" t="s">
        <v>261</v>
      </c>
      <c r="I48" s="20" t="s">
        <v>334</v>
      </c>
      <c r="J48" s="20" t="s">
        <v>416</v>
      </c>
      <c r="K48" s="20" t="s">
        <v>92</v>
      </c>
      <c r="L48" s="20" t="s">
        <v>147</v>
      </c>
      <c r="M48"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King/Father of Cups is the card of Mature compassionate male, calm, caring, friendly, sympathetic, wise, tolerant, diplomatic, balanced, affectionate, romantic, charming, devoted, family orientated, generous, easy going, married man, good husband/partner/father, loyal, faithful, spiritual guide, counsellor. The King of Cups card´s suit is the suit of the Cups. The card of King of Cups is indicitive of Kindness, Charity, Artistic potential. The King of Cups Mastery, Power, Strength Use the king of cups to plot your true course. The king of cups is the master of feeling. Deep, masculine, emotion and empathy. Expression and eloquent and impactful ways. As such, he commands the realms of art and culture. A creative genius with the ability to inspire others through his presence and his work around him. He can look danger in the face and navigate around it. Creative genius. Visionary. Artistic mastery and success. Adapting to life’s ebbs and flows. Rolling with the punches while remaining effective and productive .  The divine message to be found in this card is:  ",[@[Divinatory Meaning]],".</v>
      </c>
      <c r="N48" s="21" t="s">
        <v>429</v>
      </c>
      <c r="O48" s="20" t="s">
        <v>480</v>
      </c>
      <c r="P48" s="20" t="s">
        <v>569</v>
      </c>
      <c r="Q48" s="20" t="s">
        <v>581</v>
      </c>
      <c r="R48" s="20" t="s">
        <v>821</v>
      </c>
      <c r="S48" s="20" t="s">
        <v>630</v>
      </c>
      <c r="T48" s="20"/>
      <c r="U48" s="20" t="s">
        <v>596</v>
      </c>
      <c r="V48" s="20" t="s">
        <v>597</v>
      </c>
      <c r="W48"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King of Cups is represented by the Zodiac sign Pices, Cancer, Scorpio and symbol ♓ ♋ ♏.The element of Water. It has a Masculine quality and is associated with the color Black and the direction of West. This sign is represented by the  and the stone(s) of . The Astrological influence is Libra/Scorpio .</v>
      </c>
      <c r="X48" s="20"/>
      <c r="Y48" s="20"/>
      <c r="Z48" s="20"/>
      <c r="AA48" s="20"/>
      <c r="AB48" s="20"/>
    </row>
    <row r="49" spans="1:28" ht="134.25" customHeight="1" x14ac:dyDescent="0.25">
      <c r="A49" s="2" t="s">
        <v>24</v>
      </c>
      <c r="B49" s="21" t="s">
        <v>808</v>
      </c>
      <c r="C49" s="20"/>
      <c r="D49" s="20"/>
      <c r="E49" s="28" t="s">
        <v>188</v>
      </c>
      <c r="F49" s="20" t="s">
        <v>542</v>
      </c>
      <c r="G49"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Queen/Mother is the value of the Queen of Cups. The Queen of Cups is a Pre-destined card of Fate.  Indicate Element and Personality traits. Symbolic-Court cards (16 male, 16 female - Stages of maturity (depending on suit and level of maturity) Court cards represent a combination of Element and Personal.  The Queen of Cups is the card of Emotional maturity, Trust and follow your intuition.  The impact. Feeling and feminine understanding the emotions and situations of others. Nurturing personality. Grace. Caring for all things in the world and understanding that we are all connected. The queen of cups, goddess of the water, who sits on shells and glistening salty rocks, adorned by mermaids understands and sees all things as they really are. She is able to feel more than she can act. She is the soft touch within you, the place where you open to understand another human being, animal or plant. The white cliffs of Dover rise behind Her as reminders of what has come before and what will come after. She is the essence of compassion.      </v>
      </c>
      <c r="H49" s="27" t="s">
        <v>262</v>
      </c>
      <c r="I49" s="20" t="s">
        <v>335</v>
      </c>
      <c r="J49" s="20" t="s">
        <v>417</v>
      </c>
      <c r="K49" s="20" t="s">
        <v>93</v>
      </c>
      <c r="L49" s="20" t="s">
        <v>148</v>
      </c>
      <c r="M49"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Queen/Mother of Cups is the card of Mature emotional female, security, femininity, loving, warmth, sensitivity, kindness, happiness, intuition, romance, loyal, faithful, shy, easily wounded, pretty, beauty, daydreamer, psychic, empath, creative artistic, inspirational, healer, listener, counsellor, caring, supportive, good mother. The Queen of Cups card´s suit is the suit of the Cups. The card of Queen of Cups is indicitive of Emotional maturity, Trust and follow your intuition. The Queen of Cups Depth, Maturity The impact. Feeling and feminine understanding the emotions and situations of others. Nurturing personality. Grace. Caring for all things in the world and understanding that we are all connected. The queen of cups, goddess of the water, who sits on shells and glistening salty rocks, adorned by mermaids understands and sees all things as they really are. She is able to feel more than she can act. She is the soft touch within you, the place where you open to understand another human being, animal or plant. The white cliffs of Dover rise behind Her as reminders of what has come before and what will come after. She is the essence of compassion.        The divine message to be found in this card is:  ",[@[Divinatory Meaning]],".</v>
      </c>
      <c r="N49" s="21" t="s">
        <v>430</v>
      </c>
      <c r="O49" s="20" t="s">
        <v>481</v>
      </c>
      <c r="P49" s="20" t="s">
        <v>569</v>
      </c>
      <c r="Q49" s="20" t="s">
        <v>581</v>
      </c>
      <c r="R49" s="20" t="s">
        <v>821</v>
      </c>
      <c r="S49" s="20" t="s">
        <v>631</v>
      </c>
      <c r="T49" s="20"/>
      <c r="U49" s="20" t="s">
        <v>596</v>
      </c>
      <c r="V49" s="20" t="s">
        <v>597</v>
      </c>
      <c r="W49"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Queen of Cups is represented by the Zodiac sign Pices, Cancer, Scorpio and symbol ♓ ♋ ♏.The element of Water. It has a Masculine quality and is associated with the color Black and the direction of West. This sign is represented by the  and the stone(s) of . The Astrological influence is Water of Water .</v>
      </c>
      <c r="X49" s="20"/>
      <c r="Y49" s="20"/>
      <c r="Z49" s="20"/>
      <c r="AA49" s="20"/>
      <c r="AB49" s="20"/>
    </row>
    <row r="50" spans="1:28" ht="134.25" customHeight="1" x14ac:dyDescent="0.25">
      <c r="A50" s="2" t="s">
        <v>24</v>
      </c>
      <c r="B50" s="21" t="s">
        <v>808</v>
      </c>
      <c r="C50" s="20"/>
      <c r="D50" s="20"/>
      <c r="E50" s="28" t="s">
        <v>189</v>
      </c>
      <c r="F50" s="20" t="s">
        <v>542</v>
      </c>
      <c r="G50"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Knight/Prince/Young Adult is the value of the Knight of Cups. The Knight of Cups is a Pre-destined card of Fate.  Indicate Element and Personality traits. Symbolic-Court cards (16 male, 16 female - Stages of maturity (depending on suit and level of maturity) Court cards represent a combination of Element and Personal.  The Knight of Cups is the card of Fortune, Advancement, Salvation.  Poetic personality. Romantic seduction. Sweet nothings. Sensitive nature. News and messages. Pacifist. The gentle night of cups is the seducer of the deck and when he appears, romance is in the air. The energies of nights are active yet he carries the slowest energy. Developments are sure to come but it will take time. In the meantime, enjoy the journey, savor the sweets. Remember, Joy isn’t only in the destinations but the highway and byways we travel. The night of cups reminds us to Slow down, Consider and enjoy the view before it passes you by. </v>
      </c>
      <c r="H50" s="27" t="s">
        <v>263</v>
      </c>
      <c r="I50" s="20" t="s">
        <v>336</v>
      </c>
      <c r="J50" s="20" t="s">
        <v>418</v>
      </c>
      <c r="K50" s="20" t="s">
        <v>94</v>
      </c>
      <c r="L50" s="20" t="s">
        <v>149</v>
      </c>
      <c r="M50"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Knight/Young Adult of Cups is the card of Romantic proposals, offers, invitations, taking action, following your heart, chivalry, gentlemanly behaviour, being swept off your feet, charm, attraction, dating, affection, warmth, gentle, caring, sensitive, artistic, creative, imaginative, psychic, graceful, tactful, diplomatic, peace loving, negotiator. The Knight of Cups card´s suit is the suit of the Cups. The card of Knight of Cups is indicitive of Fortune, Advancement, Salvation. The Knight of Cups Action, Quest, Movement Poetic personality. Romantic seduction. Sweet nothings. Sensitive nature. News and messages. Pacifist. The gentle night of cups is the seducer of the deck and when he appears, romance is in the air. The energies of nights are active yet he carries the slowest energy. Developments are sure to come but it will take time. In the meantime, enjoy the journey, savor the sweets. Remember, Joy isn’t only in the destinations but the highway and byways we travel. The night of cups reminds us to Slow down, Consider and enjoy the view before it passes you by.   The divine message to be found in this card is:  ",[@[Divinatory Meaning]],".</v>
      </c>
      <c r="N50" s="21" t="s">
        <v>431</v>
      </c>
      <c r="O50" s="20" t="s">
        <v>482</v>
      </c>
      <c r="P50" s="20" t="s">
        <v>569</v>
      </c>
      <c r="Q50" s="20" t="s">
        <v>581</v>
      </c>
      <c r="R50" s="20" t="s">
        <v>821</v>
      </c>
      <c r="S50" s="20" t="s">
        <v>632</v>
      </c>
      <c r="T50" s="20"/>
      <c r="U50" s="20" t="s">
        <v>596</v>
      </c>
      <c r="V50" s="20" t="s">
        <v>597</v>
      </c>
      <c r="W50"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Knight of Cups is represented by the Zodiac sign Pices, Cancer, Scorpio and symbol ♓ ♋ ♏.The element of Water. It has a Masculine quality and is associated with the color Black and the direction of West. This sign is represented by the  and the stone(s) of . The Astrological influence is Fire of Water .</v>
      </c>
      <c r="X50" s="20"/>
      <c r="Y50" s="20"/>
      <c r="Z50" s="20"/>
      <c r="AA50" s="20"/>
      <c r="AB50" s="20"/>
    </row>
    <row r="51" spans="1:28" ht="134.25" customHeight="1" x14ac:dyDescent="0.25">
      <c r="A51" s="2" t="s">
        <v>24</v>
      </c>
      <c r="B51" s="21" t="s">
        <v>808</v>
      </c>
      <c r="C51" s="20"/>
      <c r="D51" s="20"/>
      <c r="E51" s="28" t="s">
        <v>190</v>
      </c>
      <c r="F51" s="20" t="s">
        <v>542</v>
      </c>
      <c r="G51" s="22" t="str">
        <f>_xlfn.CONCAT(Table1[[#This Row],[Numerical value]]," is the value of the ",Table1[[#This Row],[Card Name]],". The ",Table1[[#This Row],[Card Name]]," is a ",Table1[[#This Row],[Group Representation]],".  The ", Table1[[#This Row],[Card Name]]," is the card of ",Table1[[#This Row],[Indicitive of]],".  ",Table1[[#This Row],[Radiant Wise Description]])</f>
        <v>Page/Princess/Child is the value of the Page of Cups. The Page of Cups is a Pre-destined card of Fate.  Indicate Element and Personality traits. Symbolic-Court cards (16 male, 16 female - Stages of maturity (depending on suit and level of maturity) Court cards represent a combination of Element and Personal.  The Page of Cups is the card of Good Luck, Fortunate news, Opportunity-(prince) Transformation, Dive through levels of perception, (princess) Creaive, Simple, Playful, Free spirit.  Dreamy, youth full personality. Psychic visions. Imagination games. Geez deeply. Artistic. Gentle. Open mind. The sweet child of cups reflects all the soft and intuitive parts of your own psyche. It is moments of being carried away by the wonder of your own imagination, listening to music, reading a beautiful book or watching an incredible film. It is feeling young and free and above all things, feeling what is possible.</v>
      </c>
      <c r="H51" s="27" t="s">
        <v>264</v>
      </c>
      <c r="I51" s="20" t="s">
        <v>337</v>
      </c>
      <c r="J51" s="20" t="s">
        <v>419</v>
      </c>
      <c r="K51" s="20" t="s">
        <v>95</v>
      </c>
      <c r="L51" s="20" t="s">
        <v>150</v>
      </c>
      <c r="M51"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Page/Child of Cups is the card of Child, inner-child, youthfulness, idealism, sensitivity, dreamer, inner-voice, spirituality, psychic, messages, happy news, naivety, crush, admirer, becoming emotionally mature, romantic proposals, engagements, pregnancies, marriages, births, romance, artistic, kindness, loyalty, beauty, fashion, style.   The Page of Cups card´s suit is the suit of the Cups. The card of Page of Cups is indicitive of Good Luck, Fortunate news, Opportunity-(prince) Transformation, Dive through levels of perception, (princess) Creaive, Simple, Playful, Free spirit. The Page of Cups Exploration, Seeking, Learning Dreamy, youth full personality. Psychic visions. Imagination games. Geez deeply. Artistic. Gentle. Open mind. The sweet child of cups reflects all the soft and intuitive parts of your own psyche. It is moments of being carried away by the wonder of your own imagination, listening to music, reading a beautiful book or watching an incredible film. It is feeling young and free and above all things, feeling what is possible.  The divine message to be found in this card is:  ",[@[Divinatory Meaning]],".</v>
      </c>
      <c r="N51" s="21" t="s">
        <v>432</v>
      </c>
      <c r="O51" s="20" t="s">
        <v>483</v>
      </c>
      <c r="P51" s="20" t="s">
        <v>569</v>
      </c>
      <c r="Q51" s="20" t="s">
        <v>581</v>
      </c>
      <c r="R51" s="20" t="s">
        <v>821</v>
      </c>
      <c r="S51" s="20" t="s">
        <v>633</v>
      </c>
      <c r="T51" s="20"/>
      <c r="U51" s="20" t="s">
        <v>596</v>
      </c>
      <c r="V51" s="20" t="s">
        <v>597</v>
      </c>
      <c r="W51"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Page of Cups is represented by the Zodiac sign Pices, Cancer, Scorpio and symbol ♓ ♋ ♏.The element of Water. It has a Masculine quality and is associated with the color Black and the direction of West. This sign is represented by the  and the stone(s) of . The Astrological influence is female Earth of Water, Male Air of Water .</v>
      </c>
      <c r="X51" s="20"/>
      <c r="Y51" s="20"/>
      <c r="Z51" s="20"/>
      <c r="AA51" s="20"/>
      <c r="AB51" s="20"/>
    </row>
    <row r="52" spans="1:28" ht="134.25" customHeight="1" x14ac:dyDescent="0.25">
      <c r="A52" s="2" t="s">
        <v>22</v>
      </c>
      <c r="B52" s="21" t="s">
        <v>23</v>
      </c>
      <c r="C52" s="20" t="s">
        <v>814</v>
      </c>
      <c r="D52" s="20"/>
      <c r="E52" s="28" t="s">
        <v>191</v>
      </c>
      <c r="F52" s="20" t="s">
        <v>543</v>
      </c>
      <c r="G52" s="22" t="str">
        <f>_xlfn.CONCAT(Table1[[#This Row],[Numerical value]]," is the value of the ",Table1[[#This Row],[Card Name]],". The ",Table1[[#This Row],[Card Name]]," is a ",Table1[[#This Row],[Group Representation]],".  The ", Table1[[#This Row],[Card Name]]," is the card of ",Table1[[#This Row],[Indicitive of]],".  ",Table1[[#This Row],[Radiant Wise Description]])</f>
        <v>Ace is the value of the Ace of Swords. The Ace of Swords is a All Minor cards are indicitive of choice and indicate an element..  The Ace of Swords is the card of Think.  A brilliant idea based on the conviction of your mind. Success and achievement. You have totally nailed it. The ace is the seed of the suit of swords and the symbol of a sword may be used to defend oneself or to hurt others. The ace of swords reminds us the value of the mind, our brain and our innate ability to determine how we react to outside circumstances. This card also holds the power of words carrying the ability to hurt or heal, depending on how they are used. Victory.</v>
      </c>
      <c r="H52" s="27" t="s">
        <v>265</v>
      </c>
      <c r="I52" s="20" t="s">
        <v>338</v>
      </c>
      <c r="J52" s="20" t="s">
        <v>420</v>
      </c>
      <c r="K52" s="20" t="s">
        <v>96</v>
      </c>
      <c r="L52" s="20" t="s">
        <v>137</v>
      </c>
      <c r="M52"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Ace of Swords is the card of New ideas, new plans, intellectual ability, victory, success, mental clarity, clear thinking, breakthroughs, ability to concentrate, communication, realising the truth, vision, force, focus, intensity, stimulating people and environments, new beginnings, new projects, justice, assertiveness, authority, making the correct decision.  The Ace of Swords card´s suit is the suit of the Swords. The card of Ace of Swords is indicitive of Think. The Ace of Swords Ace is a Pre-destined card of Fate. New beginnings and opportunities A brilliant idea based on the conviction of your mind. Success and achievement. You have totally nailed it. The ace is the seed of the suit of swords and the symbol of a sword may be used to defend oneself or to hurt others. The ace of swords reminds us the value of the mind, our brain and our innate ability to determine how we react to outside circumstances. This card also holds the power of words carrying the ability to hurt or heal, depending on how they are used. Victory.  The divine message to be found in this card is:  ",[@[Divinatory Meaning]],".</v>
      </c>
      <c r="N52" s="21" t="s">
        <v>428</v>
      </c>
      <c r="O52" s="20" t="s">
        <v>484</v>
      </c>
      <c r="P52" s="20" t="s">
        <v>552</v>
      </c>
      <c r="Q52" s="20" t="s">
        <v>582</v>
      </c>
      <c r="R52" s="20" t="s">
        <v>822</v>
      </c>
      <c r="S52" s="20" t="s">
        <v>634</v>
      </c>
      <c r="T52" s="20"/>
      <c r="U52" s="20" t="s">
        <v>593</v>
      </c>
      <c r="V52" s="20" t="s">
        <v>594</v>
      </c>
      <c r="W52"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Ace of Swords is represented by the Zodiac sign Gemini, Libra, Aquarius and symbol ♊ ♎ ♒.The element of Air. It has a Masculine quality and is associated with the color Yellow and the direction of East. This sign is represented by the  and the stone(s) of . The Astrological influence is Spirit of Air .</v>
      </c>
      <c r="X52" s="20"/>
      <c r="Y52" s="20"/>
      <c r="Z52" s="20"/>
      <c r="AA52" s="20"/>
      <c r="AB52" s="20"/>
    </row>
    <row r="53" spans="1:28" ht="134.25" customHeight="1" x14ac:dyDescent="0.25">
      <c r="A53" s="2" t="s">
        <v>22</v>
      </c>
      <c r="B53" s="21" t="s">
        <v>23</v>
      </c>
      <c r="C53" s="20"/>
      <c r="D53" s="20"/>
      <c r="E53" s="28" t="s">
        <v>192</v>
      </c>
      <c r="F53" s="20" t="s">
        <v>543</v>
      </c>
      <c r="G53"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2 is the value of the 2 of Swords. The 2 of Swords is a All Minor cards are indicitive of choice and indicate an element..  The 2 of Swords is the card of Peace of mind.  Balance of mind. Inner searching. Val of silence. Meditation and deep thought. The two of swords reflects duality of the mind and a deeper search in Word to find the truth and meaning of what you must do and how you will proceed. The blindfold has been voluntarily placed upon her eyes. Her swords are realistically too cumbersome to hold yet she possesses them with precision and balance. This equanimity allows her to journey and meditate in to the matter at hand and find her deepest wisdom. It is taking time away from others to listen to the self and sort out your thoughts.          </v>
      </c>
      <c r="H53" s="27" t="s">
        <v>266</v>
      </c>
      <c r="I53" s="20" t="s">
        <v>339</v>
      </c>
      <c r="J53" s="20" t="s">
        <v>421</v>
      </c>
      <c r="K53" s="20" t="s">
        <v>97</v>
      </c>
      <c r="L53" s="20" t="s">
        <v>138</v>
      </c>
      <c r="M53"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2 of Swords is the card of Stalemate, truce, sitting on the fence, cross roads, difficult decisions, painful choices, stressful decisions, opposition, facing your fears, being torn between two relationships, divided loyalty, being caught in the middle, denial, blindness, inability to see the truth, avoidance, blocked emotions.  The 2 of Swords card´s suit is the suit of the Swords. The card of 2 of Swords is indicitive of Peace of mind. The 2 of Swords Partnership, Balance Balance of mind. Inner searching. Val of silence. Meditation and deep thought. The two of swords reflects duality of the mind and a deeper search in Word to find the truth and meaning of what you must do and how you will proceed. The blindfold has been voluntarily placed upon her eyes. Her swords are realistically too cumbersome to hold yet she possesses them with precision and balance. This equanimity allows her to journey and meditate in to the matter at hand and find her deepest wisdom. It is taking time away from others to listen to the self and sort out your thoughts.            The divine message to be found in this card is:  ",[@[Divinatory Meaning]],".</v>
      </c>
      <c r="N53" s="21">
        <v>2</v>
      </c>
      <c r="O53" s="20" t="s">
        <v>485</v>
      </c>
      <c r="P53" s="20" t="s">
        <v>552</v>
      </c>
      <c r="Q53" s="20" t="s">
        <v>582</v>
      </c>
      <c r="R53" s="20" t="s">
        <v>822</v>
      </c>
      <c r="S53" s="20" t="s">
        <v>635</v>
      </c>
      <c r="T53" s="20"/>
      <c r="U53" s="20" t="s">
        <v>593</v>
      </c>
      <c r="V53" s="20" t="s">
        <v>594</v>
      </c>
      <c r="W53"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2 of Swords is represented by the Zodiac sign Gemini, Libra, Aquarius and symbol ♊ ♎ ♒.The element of Air. It has a Masculine quality and is associated with the color Yellow and the direction of East. This sign is represented by the  and the stone(s) of . The Astrological influence is Moon in Libra .</v>
      </c>
      <c r="X53" s="20"/>
      <c r="Y53" s="20"/>
      <c r="Z53" s="20"/>
      <c r="AA53" s="20"/>
      <c r="AB53" s="20"/>
    </row>
    <row r="54" spans="1:28" ht="134.25" customHeight="1" x14ac:dyDescent="0.25">
      <c r="A54" s="2" t="s">
        <v>22</v>
      </c>
      <c r="B54" s="21" t="s">
        <v>23</v>
      </c>
      <c r="C54" s="20"/>
      <c r="D54" s="20"/>
      <c r="E54" s="28" t="s">
        <v>194</v>
      </c>
      <c r="F54" s="20" t="s">
        <v>543</v>
      </c>
      <c r="G54" s="22" t="str">
        <f>_xlfn.CONCAT(Table1[[#This Row],[Numerical value]]," is the value of the ",Table1[[#This Row],[Card Name]],". The ",Table1[[#This Row],[Card Name]]," is a ",Table1[[#This Row],[Group Representation]],".  The ", Table1[[#This Row],[Card Name]]," is the card of ",Table1[[#This Row],[Indicitive of]],".  ",Table1[[#This Row],[Radiant Wise Description]])</f>
        <v>3 is the value of the 3 of Swords. The 3 of Swords is a All Minor cards are indicitive of choice and indicate an element..  The 3 of Swords is the card of Sorry due to loss.  Heartbreak. Love triangle. Betrayal. Deep emotional turmoil. The wound that lets in the light. Three perfectly aligned of swords Pierce a gentle, soft heart. Storm clouds rage but will soon blow away. The three of swords is a card of pain but it is also a heart opener. Ruptures this precise are no accident. They occur for a reason. Wounds are the space that lead in light to heal and transform. Heart opening is not an easy process or your heart would already be wide-open. Isn’t it amazing to realize you can let more love in? Depth sewed in sorrow pays itself forward in love if you keep your heart open.</v>
      </c>
      <c r="H54" s="27" t="s">
        <v>267</v>
      </c>
      <c r="I54" s="20" t="s">
        <v>340</v>
      </c>
      <c r="J54" s="20" t="s">
        <v>422</v>
      </c>
      <c r="K54" s="20" t="s">
        <v>98</v>
      </c>
      <c r="L54" s="20" t="s">
        <v>139</v>
      </c>
      <c r="M54"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3 of Swords is the card of Heartbreak, betrayal, loneliness, removal, absence, division, depression, separation, sadness, heartache, unhappiness, upheaval, grief, sorrow, upset, disorder, confusion, alienation, loss, distraction, ill-health, conflict, disillusion, trauma, serious misunderstandings, tears. The 3 of Swords card´s suit is the suit of the Swords. The card of 3 of Swords is indicitive of Sorry due to loss. The 3 of Swords Trinity, Magic Heartbreak. Love triangle. Betrayal. Deep emotional turmoil. The wound that lets in the light. Three perfectly aligned of swords Pierce a gentle, soft heart. Storm clouds rage but will soon blow away. The three of swords is a card of pain but it is also a heart opener. Ruptures this precise are no accident. They occur for a reason. Wounds are the space that lead in light to heal and transform. Heart opening is not an easy process or your heart would already be wide-open. Isn’t it amazing to realize you can let more love in? Depth sewed in sorrow pays itself forward in love if you keep your heart open.  The divine message to be found in this card is:  ",[@[Divinatory Meaning]],".</v>
      </c>
      <c r="N54" s="21">
        <v>3</v>
      </c>
      <c r="O54" s="20" t="s">
        <v>486</v>
      </c>
      <c r="P54" s="20" t="s">
        <v>552</v>
      </c>
      <c r="Q54" s="20" t="s">
        <v>582</v>
      </c>
      <c r="R54" s="20" t="s">
        <v>822</v>
      </c>
      <c r="S54" s="20" t="s">
        <v>636</v>
      </c>
      <c r="T54" s="20"/>
      <c r="U54" s="20" t="s">
        <v>593</v>
      </c>
      <c r="V54" s="20" t="s">
        <v>594</v>
      </c>
      <c r="W54"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3 of Swords is represented by the Zodiac sign Gemini, Libra, Aquarius and symbol ♊ ♎ ♒.The element of Air. It has a Masculine quality and is associated with the color Yellow and the direction of East. This sign is represented by the  and the stone(s) of . The Astrological influence is Saturn in Libra .</v>
      </c>
      <c r="X54" s="20"/>
      <c r="Y54" s="20"/>
      <c r="Z54" s="20"/>
      <c r="AA54" s="20"/>
      <c r="AB54" s="20"/>
    </row>
    <row r="55" spans="1:28" ht="134.25" customHeight="1" x14ac:dyDescent="0.25">
      <c r="A55" s="2" t="s">
        <v>22</v>
      </c>
      <c r="B55" s="21" t="s">
        <v>23</v>
      </c>
      <c r="C55" s="20"/>
      <c r="D55" s="20"/>
      <c r="E55" s="28" t="s">
        <v>195</v>
      </c>
      <c r="F55" s="20" t="s">
        <v>543</v>
      </c>
      <c r="G55" s="22" t="str">
        <f>_xlfn.CONCAT(Table1[[#This Row],[Numerical value]]," is the value of the ",Table1[[#This Row],[Card Name]],". The ",Table1[[#This Row],[Card Name]]," is a ",Table1[[#This Row],[Group Representation]],".  The ", Table1[[#This Row],[Card Name]]," is the card of ",Table1[[#This Row],[Indicitive of]],".  ",Table1[[#This Row],[Radiant Wise Description]])</f>
        <v>4 is the value of the 4 of Swords. The 4 of Swords is a All Minor cards are indicitive of choice and indicate an element..  The 4 of Swords is the card of Truce and rest.  Stability of the mind. Trusting your thoughts and calculations. Peaceful rest. Fours in Taro always imply a stable base. It is the place where the energy of the suit evens out, becomes real and manifest in the real world. The four of swords is the peace of mind of knowing what you know and not doubting yourself. The effigy of the knight laying rest in a quiet tomb reflective Of the sleep of the dead. It is the sanctity of sacred space.</v>
      </c>
      <c r="H55" s="27" t="s">
        <v>268</v>
      </c>
      <c r="I55" s="20" t="s">
        <v>341</v>
      </c>
      <c r="J55" s="20" t="s">
        <v>423</v>
      </c>
      <c r="K55" s="20" t="s">
        <v>99</v>
      </c>
      <c r="L55" s="20" t="s">
        <v>140</v>
      </c>
      <c r="M55"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4 of Swords is the card of Fear, anxiety, stress, feeling overwhelmed, mental overload, needing solitude, relaxation, rest, peace and quiet, sanctuary, meditation, regrouping, recuperation, hospitalisation, introspection, planning for the future, contemplation, self-protection, spiritual counselling or support, having faith. The 4 of Swords card´s suit is the suit of the Swords. The card of 4 of Swords is indicitive of Truce and rest. The 4 of Swords Foundation, Completion Stability of the mind. Trusting your thoughts and calculations. Peaceful rest. Fours in Taro always imply a stable base. It is the place where the energy of the suit evens out, becomes real and manifest in the real world. The four of swords is the peace of mind of knowing what you know and not doubting yourself. The effigy of the knight laying rest in a quiet tomb reflective Of the sleep of the dead. It is the sanctity of sacred space.  The divine message to be found in this card is:  ",[@[Divinatory Meaning]],".</v>
      </c>
      <c r="N55" s="21">
        <v>4</v>
      </c>
      <c r="O55" s="20" t="s">
        <v>487</v>
      </c>
      <c r="P55" s="20" t="s">
        <v>552</v>
      </c>
      <c r="Q55" s="20" t="s">
        <v>582</v>
      </c>
      <c r="R55" s="20" t="s">
        <v>822</v>
      </c>
      <c r="S55" s="20" t="s">
        <v>637</v>
      </c>
      <c r="T55" s="20"/>
      <c r="U55" s="20" t="s">
        <v>593</v>
      </c>
      <c r="V55" s="20" t="s">
        <v>594</v>
      </c>
      <c r="W55"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4 of Swords is represented by the Zodiac sign Gemini, Libra, Aquarius and symbol ♊ ♎ ♒.The element of Air. It has a Masculine quality and is associated with the color Yellow and the direction of East. This sign is represented by the  and the stone(s) of . The Astrological influence is Jupiter in Libra .</v>
      </c>
      <c r="X55" s="20"/>
      <c r="Y55" s="20"/>
      <c r="Z55" s="20"/>
      <c r="AA55" s="20"/>
      <c r="AB55" s="20"/>
    </row>
    <row r="56" spans="1:28" ht="134.25" customHeight="1" x14ac:dyDescent="0.25">
      <c r="A56" s="2" t="s">
        <v>22</v>
      </c>
      <c r="B56" s="21" t="s">
        <v>23</v>
      </c>
      <c r="C56" s="20"/>
      <c r="D56" s="20"/>
      <c r="E56" s="28" t="s">
        <v>196</v>
      </c>
      <c r="F56" s="20" t="s">
        <v>543</v>
      </c>
      <c r="G56" s="22" t="str">
        <f>_xlfn.CONCAT(Table1[[#This Row],[Numerical value]]," is the value of the ",Table1[[#This Row],[Card Name]],". The ",Table1[[#This Row],[Card Name]]," is a ",Table1[[#This Row],[Group Representation]],".  The ", Table1[[#This Row],[Card Name]]," is the card of ",Table1[[#This Row],[Indicitive of]],".  ",Table1[[#This Row],[Radiant Wise Description]])</f>
        <v>5 is the value of the 5 of Swords. The 5 of Swords is a All Minor cards are indicitive of choice and indicate an element..  The 5 of Swords is the card of Defeat.  Cruelty. Consider your actions and words. Faults accusations. Cowardliness. Inflated ego at the expense of others. Taking advantage of others. The five of swords is warning card to remind you of the power of your words and actions. A dispute has ended and there is a clear winner, loser and mediator. Who do you identify with on the card? Which character represents you at this very moment? If you do not see yourself in the car, who or what does it remind you of? What lessons can you take away from the image?</v>
      </c>
      <c r="H56" s="27" t="s">
        <v>269</v>
      </c>
      <c r="I56" s="20" t="s">
        <v>342</v>
      </c>
      <c r="J56" s="20" t="s">
        <v>424</v>
      </c>
      <c r="K56" s="20" t="s">
        <v>100</v>
      </c>
      <c r="L56" s="20" t="s">
        <v>141</v>
      </c>
      <c r="M56"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5 of Swords is the card of Defeat, surrender, change, walking away, self-sacrifice, self-sabotaging behaviour, underhanded behaviour, deception, lack of communication, aggression, bullying, intimidation, abuse, violence, crime, rape, murder, assault, standing up for yourself, victory, fighting back, overcoming challenges, serious conflict, hostility, stress. The 5 of Swords card´s suit is the suit of the Swords. The card of 5 of Swords is indicitive of Defeat. The 5 of Swords Strife, Chaos Cruelty. Consider your actions and words. Faults accusations. Cowardliness. Inflated ego at the expense of others. Taking advantage of others. The five of swords is warning card to remind you of the power of your words and actions. A dispute has ended and there is a clear winner, loser and mediator. Who do you identify with on the card? Which character represents you at this very moment? If you do not see yourself in the car, who or what does it remind you of? What lessons can you take away from the image?  The divine message to be found in this card is:  ",[@[Divinatory Meaning]],".</v>
      </c>
      <c r="N56" s="21">
        <v>5</v>
      </c>
      <c r="O56" s="20" t="s">
        <v>488</v>
      </c>
      <c r="P56" s="20" t="s">
        <v>552</v>
      </c>
      <c r="Q56" s="20" t="s">
        <v>582</v>
      </c>
      <c r="R56" s="20" t="s">
        <v>822</v>
      </c>
      <c r="S56" s="20" t="s">
        <v>638</v>
      </c>
      <c r="T56" s="20"/>
      <c r="U56" s="20" t="s">
        <v>593</v>
      </c>
      <c r="V56" s="20" t="s">
        <v>594</v>
      </c>
      <c r="W56"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5 of Swords is represented by the Zodiac sign Gemini, Libra, Aquarius and symbol ♊ ♎ ♒.The element of Air. It has a Masculine quality and is associated with the color Yellow and the direction of East. This sign is represented by the  and the stone(s) of . The Astrological influence is Venus in Aquarius .</v>
      </c>
      <c r="X56" s="20"/>
      <c r="Y56" s="20"/>
      <c r="Z56" s="20"/>
      <c r="AA56" s="20"/>
      <c r="AB56" s="20"/>
    </row>
    <row r="57" spans="1:28" ht="134.25" customHeight="1" x14ac:dyDescent="0.25">
      <c r="A57" s="2" t="s">
        <v>22</v>
      </c>
      <c r="B57" s="21" t="s">
        <v>23</v>
      </c>
      <c r="C57" s="20"/>
      <c r="D57" s="20"/>
      <c r="E57" s="28" t="s">
        <v>197</v>
      </c>
      <c r="F57" s="20" t="s">
        <v>543</v>
      </c>
      <c r="G57" s="22" t="str">
        <f>_xlfn.CONCAT(Table1[[#This Row],[Numerical value]]," is the value of the ",Table1[[#This Row],[Card Name]],". The ",Table1[[#This Row],[Card Name]]," is a ",Table1[[#This Row],[Group Representation]],".  The ", Table1[[#This Row],[Card Name]]," is the card of ",Table1[[#This Row],[Indicitive of]],".  ",Table1[[#This Row],[Radiant Wise Description]])</f>
        <v>6 is the value of the 6 of Swords. The 6 of Swords is a All Minor cards are indicitive of choice and indicate an element..  The 6 of Swords is the card of Science, Balance.  Quiet passage. Movement with those you love most. Better times liar head. A female figure and a child or fairy to cross a body of water by boat man. This illustration alludes to the Greek boatman who fairies souls to the land of the dead. It is a remarkable journey with those who are closest to you. The water beneath the boat suggest the emotional depth between the people involved. Thoughts and words are used in their highest aspect. There is no going back.</v>
      </c>
      <c r="H57" s="27" t="s">
        <v>270</v>
      </c>
      <c r="I57" s="20" t="s">
        <v>343</v>
      </c>
      <c r="J57" s="20" t="s">
        <v>425</v>
      </c>
      <c r="K57" s="20" t="s">
        <v>101</v>
      </c>
      <c r="L57" s="20" t="s">
        <v>142</v>
      </c>
      <c r="M57"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6 of Swords is the card of Calmer waters, healing, progress, moving on, moving forward, things calming down, calm after a storm, overcoming hardship, relief, stability, escaping, running away, journeys, travelling, travel overseas, going on holiday, feeling deflated, lethargy, holding onto negativity, spirit guides, guidance. The 6 of Swords card´s suit is the suit of the Swords. The card of 6 of Swords is indicitive of Science, Balance. The 6 of Swords Perfection, Beauty Quiet passage. Movement with those you love most. Better times liar head. A female figure and a child or fairy to cross a body of water by boat man. This illustration alludes to the Greek boatman who fairies souls to the land of the dead. It is a remarkable journey with those who are closest to you. The water beneath the boat suggest the emotional depth between the people involved. Thoughts and words are used in their highest aspect. There is no going back.  The divine message to be found in this card is:  ",[@[Divinatory Meaning]],".</v>
      </c>
      <c r="N57" s="21">
        <v>6</v>
      </c>
      <c r="O57" s="20" t="s">
        <v>489</v>
      </c>
      <c r="P57" s="20" t="s">
        <v>552</v>
      </c>
      <c r="Q57" s="20" t="s">
        <v>582</v>
      </c>
      <c r="R57" s="20" t="s">
        <v>822</v>
      </c>
      <c r="S57" s="20" t="s">
        <v>639</v>
      </c>
      <c r="T57" s="20"/>
      <c r="U57" s="20" t="s">
        <v>593</v>
      </c>
      <c r="V57" s="20" t="s">
        <v>594</v>
      </c>
      <c r="W57"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6 of Swords is represented by the Zodiac sign Gemini, Libra, Aquarius and symbol ♊ ♎ ♒.The element of Air. It has a Masculine quality and is associated with the color Yellow and the direction of East. This sign is represented by the  and the stone(s) of . The Astrological influence is Mercury in Aquarius .</v>
      </c>
      <c r="X57" s="20"/>
      <c r="Y57" s="20"/>
      <c r="Z57" s="20"/>
      <c r="AA57" s="20"/>
      <c r="AB57" s="20"/>
    </row>
    <row r="58" spans="1:28" ht="134.25" customHeight="1" x14ac:dyDescent="0.25">
      <c r="A58" s="2" t="s">
        <v>22</v>
      </c>
      <c r="B58" s="21" t="s">
        <v>23</v>
      </c>
      <c r="C58" s="20"/>
      <c r="D58" s="20"/>
      <c r="E58" s="28" t="s">
        <v>198</v>
      </c>
      <c r="F58" s="20" t="s">
        <v>543</v>
      </c>
      <c r="G58" s="22" t="str">
        <f>_xlfn.CONCAT(Table1[[#This Row],[Numerical value]]," is the value of the ",Table1[[#This Row],[Card Name]],". The ",Table1[[#This Row],[Card Name]]," is a ",Table1[[#This Row],[Group Representation]],".  The ", Table1[[#This Row],[Card Name]]," is the card of ",Table1[[#This Row],[Indicitive of]],".  ",Table1[[#This Row],[Radiant Wise Description]])</f>
        <v>7 is the value of the 7 of Swords. The 7 of Swords is a All Minor cards are indicitive of choice and indicate an element..  The 7 of Swords is the card of Futility, Theft.  Subterfuge. Illusion. Getting away with murder. A figure sneaks away seemingly unnoticed by the figures surrounding the fire. His body language moves in three directions, forward, backward, and towards the reader reflecting the past, present and future of the situation at hand. This card often reflects editing and moving forward with only what is essential. Getting rid of what you don’t need. Sevens In tarot always make note of a stroke of luck.</v>
      </c>
      <c r="H58" s="27" t="s">
        <v>271</v>
      </c>
      <c r="I58" s="20" t="s">
        <v>344</v>
      </c>
      <c r="J58" s="20" t="s">
        <v>426</v>
      </c>
      <c r="K58" s="20" t="s">
        <v>102</v>
      </c>
      <c r="L58" s="20" t="s">
        <v>143</v>
      </c>
      <c r="M58"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7 of Swords is the card of Deceit, lies, trickery, cheating, theft, underhanded, scheming, dangerous/risky behaviour, enemy masquerading as friend, spying, lack of conscience, strategy, resourceful, flexible, escaping detection, getting away with it, adaptable, courage, daring, sharp wit, mental manipulation, cunning, overly rational. The 7 of Swords card´s suit is the suit of the Swords. The card of 7 of Swords is indicitive of Futility, Theft. The 7 of Swords Spiritual Seeking, Questing Subterfuge. Illusion. Getting away with murder. A figure sneaks away seemingly unnoticed by the figures surrounding the fire. His body language moves in three directions, forward, backward, and towards the reader reflecting the past, present and future of the situation at hand. This card often reflects editing and moving forward with only what is essential. Getting rid of what you don’t need. Sevens In tarot always make note of a stroke of luck.  The divine message to be found in this card is:  ",[@[Divinatory Meaning]],".</v>
      </c>
      <c r="N58" s="21">
        <v>7</v>
      </c>
      <c r="O58" s="20" t="s">
        <v>490</v>
      </c>
      <c r="P58" s="20" t="s">
        <v>552</v>
      </c>
      <c r="Q58" s="20" t="s">
        <v>582</v>
      </c>
      <c r="R58" s="20" t="s">
        <v>822</v>
      </c>
      <c r="S58" s="20" t="s">
        <v>640</v>
      </c>
      <c r="T58" s="20"/>
      <c r="U58" s="20" t="s">
        <v>593</v>
      </c>
      <c r="V58" s="20" t="s">
        <v>594</v>
      </c>
      <c r="W58"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7 of Swords is represented by the Zodiac sign Gemini, Libra, Aquarius and symbol ♊ ♎ ♒.The element of Air. It has a Masculine quality and is associated with the color Yellow and the direction of East. This sign is represented by the  and the stone(s) of . The Astrological influence is Moon in Aquarius .</v>
      </c>
      <c r="X58" s="20"/>
      <c r="Y58" s="20"/>
      <c r="Z58" s="20"/>
      <c r="AA58" s="20"/>
      <c r="AB58" s="20"/>
    </row>
    <row r="59" spans="1:28" ht="134.25" customHeight="1" x14ac:dyDescent="0.25">
      <c r="A59" s="2" t="s">
        <v>22</v>
      </c>
      <c r="B59" s="21" t="s">
        <v>23</v>
      </c>
      <c r="C59" s="20"/>
      <c r="D59" s="20"/>
      <c r="E59" s="28" t="s">
        <v>199</v>
      </c>
      <c r="F59" s="20" t="s">
        <v>543</v>
      </c>
      <c r="G59" s="22" t="str">
        <f>_xlfn.CONCAT(Table1[[#This Row],[Numerical value]]," is the value of the ",Table1[[#This Row],[Card Name]],". The ",Table1[[#This Row],[Card Name]]," is a ",Table1[[#This Row],[Group Representation]],".  The ", Table1[[#This Row],[Card Name]]," is the card of ",Table1[[#This Row],[Indicitive of]],".  ",Table1[[#This Row],[Radiant Wise Description]])</f>
        <v>8 is the value of the 8 of Swords. The 8 of Swords is a All Minor cards are indicitive of choice and indicate an element..  The 8 of Swords is the card of Interference, Confusion Negative thoughts, self-imposed restriction, imprisonment, victim mentality.  Allowing other people’s actions and words to mess with your mind. Temporary bondage. Free yourself. Illusions. Initiation. Blindfolds in the taro often represent sacred initiation. In this case the blindfold is placed upon the eyes voluntarily. The initiate moves through her experience and removes the blindfold to see the world through a new set of eyes. The castle in the background fades from site as the past begins to dissipate.</v>
      </c>
      <c r="H59" s="27" t="s">
        <v>272</v>
      </c>
      <c r="I59" s="20" t="s">
        <v>427</v>
      </c>
      <c r="J59" s="20" t="s">
        <v>25</v>
      </c>
      <c r="K59" s="20" t="s">
        <v>103</v>
      </c>
      <c r="L59" s="20" t="s">
        <v>144</v>
      </c>
      <c r="M59"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8 of Swords is the card of  The 8 of Swords card´s suit is the suit of the Swords. The card of 8 of Swords is indicitive of Interference, Confusion Negative thoughts, self-imposed restriction, imprisonment, victim mentality. The 8 of Swords Infinity, Stability Allowing other people’s actions and words to mess with your mind. Temporary bondage. Free yourself. Illusions. Initiation. Blindfolds in the taro often represent sacred initiation. In this case the blindfold is placed upon the eyes voluntarily. The initiate moves through her experience and removes the blindfold to see the world through a new set of eyes. The castle in the background fades from site as the past begins to dissipate.  The divine message to be found in this card is:  ",[@[Divinatory Meaning]],".</v>
      </c>
      <c r="N59" s="21">
        <v>8</v>
      </c>
      <c r="O59" s="20" t="s">
        <v>491</v>
      </c>
      <c r="P59" s="20" t="s">
        <v>552</v>
      </c>
      <c r="Q59" s="20" t="s">
        <v>582</v>
      </c>
      <c r="R59" s="20" t="s">
        <v>822</v>
      </c>
      <c r="S59" s="20" t="s">
        <v>641</v>
      </c>
      <c r="T59" s="20"/>
      <c r="U59" s="20" t="s">
        <v>593</v>
      </c>
      <c r="V59" s="20" t="s">
        <v>594</v>
      </c>
      <c r="W59"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8 of Swords is represented by the Zodiac sign Gemini, Libra, Aquarius and symbol ♊ ♎ ♒.The element of Air. It has a Masculine quality and is associated with the color Yellow and the direction of East. This sign is represented by the  and the stone(s) of . The Astrological influence is Jupiter in Gemini .</v>
      </c>
      <c r="X59" s="20"/>
      <c r="Y59" s="20"/>
      <c r="Z59" s="20"/>
      <c r="AA59" s="20"/>
      <c r="AB59" s="20"/>
    </row>
    <row r="60" spans="1:28" ht="134.25" customHeight="1" x14ac:dyDescent="0.25">
      <c r="A60" s="2" t="s">
        <v>22</v>
      </c>
      <c r="B60" s="21" t="s">
        <v>23</v>
      </c>
      <c r="C60" s="20"/>
      <c r="D60" s="20"/>
      <c r="E60" s="28" t="s">
        <v>164</v>
      </c>
      <c r="F60" s="20" t="s">
        <v>543</v>
      </c>
      <c r="G60"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9 is the value of the 9 of Swords. The 9 of Swords is a All Minor cards are indicitive of choice and indicate an element..  The 9 of Swords is the card of Self-inflicted crelty.  Racing, torturous thoughts. Sleepless night. Overdrive mind. Nighttime tears and distress. Nightmares blur the lines between reality and dream time. Passive aggression wreaking havoc on the mind. Feelings of anger against the self and the mind racing out of control. Nine swords form a makeshift ladder above the bed. Will you escape or will your feet be sliced to shreds? Temporary blindness will end if only you remove your hands. Peace will prevail by assuming the lotus Position and allowing what is needed to slip away.         </v>
      </c>
      <c r="H60" s="27" t="s">
        <v>273</v>
      </c>
      <c r="I60" s="20" t="s">
        <v>345</v>
      </c>
      <c r="J60" s="20" t="s">
        <v>26</v>
      </c>
      <c r="K60" s="20" t="s">
        <v>104</v>
      </c>
      <c r="L60" s="20" t="s">
        <v>145</v>
      </c>
      <c r="M60"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9 of Swords is the card of  The 9 of Swords card´s suit is the suit of the Swords. The card of 9 of Swords is indicitive of Self-inflicted crelty. The 9 of Swords Master # of magic, Highest single digit number Racing, torturous thoughts. Sleepless night. Overdrive mind. Nighttime tears and distress. Nightmares blur the lines between reality and dream time. Passive aggression wreaking havoc on the mind. Feelings of anger against the self and the mind racing out of control. Nine swords form a makeshift ladder above the bed. Will you escape or will your feet be sliced to shreds? Temporary blindness will end if only you remove your hands. Peace will prevail by assuming the lotus Position and allowing what is needed to slip away.           The divine message to be found in this card is:  ",[@[Divinatory Meaning]],".</v>
      </c>
      <c r="N60" s="21">
        <v>9</v>
      </c>
      <c r="O60" s="20" t="s">
        <v>492</v>
      </c>
      <c r="P60" s="20" t="s">
        <v>552</v>
      </c>
      <c r="Q60" s="20" t="s">
        <v>582</v>
      </c>
      <c r="R60" s="20" t="s">
        <v>822</v>
      </c>
      <c r="S60" s="20" t="s">
        <v>642</v>
      </c>
      <c r="T60" s="20"/>
      <c r="U60" s="20" t="s">
        <v>593</v>
      </c>
      <c r="V60" s="20" t="s">
        <v>594</v>
      </c>
      <c r="W60"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9 of Swords is represented by the Zodiac sign Gemini, Libra, Aquarius and symbol ♊ ♎ ♒.The element of Air. It has a Masculine quality and is associated with the color Yellow and the direction of East. This sign is represented by the  and the stone(s) of . The Astrological influence is Mars in Gemini .</v>
      </c>
      <c r="X60" s="20"/>
      <c r="Y60" s="20"/>
      <c r="Z60" s="20"/>
      <c r="AA60" s="20"/>
      <c r="AB60" s="20"/>
    </row>
    <row r="61" spans="1:28" ht="134.25" customHeight="1" x14ac:dyDescent="0.25">
      <c r="A61" s="2" t="s">
        <v>22</v>
      </c>
      <c r="B61" s="21" t="s">
        <v>23</v>
      </c>
      <c r="C61" s="20"/>
      <c r="D61" s="20"/>
      <c r="E61" s="28" t="s">
        <v>200</v>
      </c>
      <c r="F61" s="20" t="s">
        <v>543</v>
      </c>
      <c r="G61" s="22" t="str">
        <f>_xlfn.CONCAT(Table1[[#This Row],[Numerical value]]," is the value of the ",Table1[[#This Row],[Card Name]],". The ",Table1[[#This Row],[Card Name]]," is a ",Table1[[#This Row],[Group Representation]],".  The ", Table1[[#This Row],[Card Name]]," is the card of ",Table1[[#This Row],[Indicitive of]],".  ",Table1[[#This Row],[Radiant Wise Description]])</f>
        <v>10 is the value of the 10 of Swords. The 10 of Swords is a All Minor cards are indicitive of choice and indicate an element..  The 10 of Swords is the card of Ruin.  The end to old thought patterns pave the way to new ground. The 10 of swords is the ultimate end of the situation. It is done, finished and culminated with sublime drama. The figure lay with swords along his spine reflecting alternative medicine, acupuncture, and chakra work. A bright and golden sun Pierces the darkness of the blackest night letting you know a new beginning and a new day is dawning. The figure crafts a secret gesture with his fingers letting you know this is metaphorical death.</v>
      </c>
      <c r="H61" s="27" t="s">
        <v>274</v>
      </c>
      <c r="I61" s="20" t="s">
        <v>346</v>
      </c>
      <c r="J61" s="20" t="s">
        <v>27</v>
      </c>
      <c r="K61" s="20" t="s">
        <v>105</v>
      </c>
      <c r="L61" s="20" t="s">
        <v>146</v>
      </c>
      <c r="M61"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10 of Swords is the card of  The 10 of Swords card´s suit is the suit of the Swords. The card of 10 of Swords is indicitive of Ruin. The 10 of Swords Top number of fulfillment, Harvest The end to old thought patterns pave the way to new ground. The 10 of swords is the ultimate end of the situation. It is done, finished and culminated with sublime drama. The figure lay with swords along his spine reflecting alternative medicine, acupuncture, and chakra work. A bright and golden sun Pierces the darkness of the blackest night letting you know a new beginning and a new day is dawning. The figure crafts a secret gesture with his fingers letting you know this is metaphorical death.  The divine message to be found in this card is:  ",[@[Divinatory Meaning]],".</v>
      </c>
      <c r="N61" s="21">
        <v>10</v>
      </c>
      <c r="O61" s="20" t="s">
        <v>493</v>
      </c>
      <c r="P61" s="20" t="s">
        <v>552</v>
      </c>
      <c r="Q61" s="20" t="s">
        <v>582</v>
      </c>
      <c r="R61" s="20" t="s">
        <v>822</v>
      </c>
      <c r="S61" s="20" t="s">
        <v>643</v>
      </c>
      <c r="T61" s="20"/>
      <c r="U61" s="20" t="s">
        <v>593</v>
      </c>
      <c r="V61" s="20" t="s">
        <v>594</v>
      </c>
      <c r="W61"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10 of Swords is represented by the Zodiac sign Gemini, Libra, Aquarius and symbol ♊ ♎ ♒.The element of Air. It has a Masculine quality and is associated with the color Yellow and the direction of East. This sign is represented by the  and the stone(s) of . The Astrological influence is Sun in Gemini .</v>
      </c>
      <c r="X61" s="20"/>
      <c r="Y61" s="20"/>
      <c r="Z61" s="20"/>
      <c r="AA61" s="20"/>
      <c r="AB61" s="20"/>
    </row>
    <row r="62" spans="1:28" ht="134.25" customHeight="1" x14ac:dyDescent="0.25">
      <c r="A62" s="2" t="s">
        <v>24</v>
      </c>
      <c r="B62" s="21" t="s">
        <v>808</v>
      </c>
      <c r="C62" s="20"/>
      <c r="D62" s="20"/>
      <c r="E62" s="28" t="s">
        <v>193</v>
      </c>
      <c r="F62" s="20" t="s">
        <v>543</v>
      </c>
      <c r="G62" s="22" t="str">
        <f>_xlfn.CONCAT(Table1[[#This Row],[Numerical value]]," is the value of the ",Table1[[#This Row],[Card Name]],". The ",Table1[[#This Row],[Card Name]]," is a ",Table1[[#This Row],[Group Representation]],".  The ", Table1[[#This Row],[Card Name]]," is the card of ",Table1[[#This Row],[Indicitive of]],".  ",Table1[[#This Row],[Radiant Wise Description]])</f>
        <v>King/Father is the value of the King of Swords. The King of Swords is a Pre-destined card of Fate.  Indicate Element and Personality traits. Symbolic-Court cards (16 male, 16 female - Stages of maturity (depending on suit and level of maturity) Court cards represent a combination of Element and Personal.  The King of Swords is the card of Focused and directed ideas; very mental.  The masculine expression of the element of air. Intellectuality and rational analysis. Purely thought based reactions. Tactical approach to all matters. His energy helps you meet deadlines, finish projects, and ace tests. He is the big boss, the father figure and the authoritarian. Here, like the queen of swords, emulates the figure of justice and carries her qualities in his words and actions. The butterflies on his throne reflect a higher consciousness.</v>
      </c>
      <c r="H62" s="27" t="s">
        <v>275</v>
      </c>
      <c r="I62" s="20" t="s">
        <v>347</v>
      </c>
      <c r="J62" s="20" t="s">
        <v>28</v>
      </c>
      <c r="K62" s="20" t="s">
        <v>106</v>
      </c>
      <c r="L62" s="20" t="s">
        <v>147</v>
      </c>
      <c r="M62"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King/Father of Swords is the card of  The King of Swords card´s suit is the suit of the Swords. The card of King of Swords is indicitive of Focused and directed ideas; very mental. The King of Swords Mastery, Power, Strength The masculine expression of the element of air. Intellectuality and rational analysis. Purely thought based reactions. Tactical approach to all matters. His energy helps you meet deadlines, finish projects, and ace tests. He is the big boss, the father figure and the authoritarian. Here, like the queen of swords, emulates the figure of justice and carries her qualities in his words and actions. The butterflies on his throne reflect a higher consciousness.  The divine message to be found in this card is:  ",[@[Divinatory Meaning]],".</v>
      </c>
      <c r="N62" s="21" t="s">
        <v>429</v>
      </c>
      <c r="O62" s="20" t="s">
        <v>494</v>
      </c>
      <c r="P62" s="20" t="s">
        <v>552</v>
      </c>
      <c r="Q62" s="20" t="s">
        <v>582</v>
      </c>
      <c r="R62" s="20" t="s">
        <v>822</v>
      </c>
      <c r="S62" s="20" t="s">
        <v>644</v>
      </c>
      <c r="T62" s="20"/>
      <c r="U62" s="20" t="s">
        <v>593</v>
      </c>
      <c r="V62" s="20" t="s">
        <v>594</v>
      </c>
      <c r="W62"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King of Swords is represented by the Zodiac sign Gemini, Libra, Aquarius and symbol ♊ ♎ ♒.The element of Air. It has a Masculine quality and is associated with the color Yellow and the direction of East. This sign is represented by the  and the stone(s) of . The Astrological influence is Taurus/Gemini .</v>
      </c>
      <c r="X62" s="20"/>
      <c r="Y62" s="20"/>
      <c r="Z62" s="20"/>
      <c r="AA62" s="20"/>
      <c r="AB62" s="20"/>
    </row>
    <row r="63" spans="1:28" ht="134.25" customHeight="1" x14ac:dyDescent="0.25">
      <c r="A63" s="2" t="s">
        <v>24</v>
      </c>
      <c r="B63" s="21" t="s">
        <v>808</v>
      </c>
      <c r="C63" s="20"/>
      <c r="D63" s="20"/>
      <c r="E63" s="28" t="s">
        <v>201</v>
      </c>
      <c r="F63" s="20" t="s">
        <v>543</v>
      </c>
      <c r="G63" s="22" t="str">
        <f>_xlfn.CONCAT(Table1[[#This Row],[Numerical value]]," is the value of the ",Table1[[#This Row],[Card Name]],". The ",Table1[[#This Row],[Card Name]]," is a ",Table1[[#This Row],[Group Representation]],".  The ", Table1[[#This Row],[Card Name]]," is the card of ",Table1[[#This Row],[Indicitive of]],".  ",Table1[[#This Row],[Radiant Wise Description]])</f>
        <v>Queen/Mother is the value of the Queen of Swords. The Queen of Swords is a Pre-destined card of Fate.  Indicate Element and Personality traits. Symbolic-Court cards (16 male, 16 female - Stages of maturity (depending on suit and level of maturity) Court cards represent a combination of Element and Personal.  The Queen of Swords is the card of Intelligence, Keen perception; a person alone.  Clear thinking, straight, and to the point. Perfect articulation. Knowing what you want and expressing it succinctly. The queen of swords wheels the mature and feminine power of the mind. Her hand is extended to invite you in and ask sending greetings. Her sword is pointed towards clarity and truth so the highest form of truth is given. She will always tell you what you need to hear and convey it in the most direct form possible.</v>
      </c>
      <c r="H63" s="27" t="s">
        <v>276</v>
      </c>
      <c r="I63" s="20" t="s">
        <v>348</v>
      </c>
      <c r="J63" s="20" t="s">
        <v>29</v>
      </c>
      <c r="K63" s="20" t="s">
        <v>107</v>
      </c>
      <c r="L63" s="20" t="s">
        <v>148</v>
      </c>
      <c r="M63"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Queen/Mother of Swords is the card of  The Queen of Swords card´s suit is the suit of the Swords. The card of Queen of Swords is indicitive of Intelligence, Keen perception; a person alone. The Queen of Swords Depth, Maturity Clear thinking, straight, and to the point. Perfect articulation. Knowing what you want and expressing it succinctly. The queen of swords wheels the mature and feminine power of the mind. Her hand is extended to invite you in and ask sending greetings. Her sword is pointed towards clarity and truth so the highest form of truth is given. She will always tell you what you need to hear and convey it in the most direct form possible.  The divine message to be found in this card is:  ",[@[Divinatory Meaning]],".</v>
      </c>
      <c r="N63" s="21" t="s">
        <v>430</v>
      </c>
      <c r="O63" s="20" t="s">
        <v>495</v>
      </c>
      <c r="P63" s="20" t="s">
        <v>552</v>
      </c>
      <c r="Q63" s="20" t="s">
        <v>582</v>
      </c>
      <c r="R63" s="20" t="s">
        <v>822</v>
      </c>
      <c r="S63" s="20" t="s">
        <v>645</v>
      </c>
      <c r="T63" s="20"/>
      <c r="U63" s="20" t="s">
        <v>593</v>
      </c>
      <c r="V63" s="20" t="s">
        <v>594</v>
      </c>
      <c r="W63"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Queen of Swords is represented by the Zodiac sign Gemini, Libra, Aquarius and symbol ♊ ♎ ♒.The element of Air. It has a Masculine quality and is associated with the color Yellow and the direction of East. This sign is represented by the  and the stone(s) of . The Astrological influence is Virgo/Libra .</v>
      </c>
      <c r="X63" s="20"/>
      <c r="Y63" s="20"/>
      <c r="Z63" s="20"/>
      <c r="AA63" s="20"/>
      <c r="AB63" s="20"/>
    </row>
    <row r="64" spans="1:28" ht="134.25" customHeight="1" x14ac:dyDescent="0.25">
      <c r="A64" s="2" t="s">
        <v>24</v>
      </c>
      <c r="B64" s="21" t="s">
        <v>808</v>
      </c>
      <c r="C64" s="20"/>
      <c r="D64" s="20"/>
      <c r="E64" s="28" t="s">
        <v>202</v>
      </c>
      <c r="F64" s="20" t="s">
        <v>543</v>
      </c>
      <c r="G64" s="22" t="str">
        <f>_xlfn.CONCAT(Table1[[#This Row],[Numerical value]]," is the value of the ",Table1[[#This Row],[Card Name]],". The ",Table1[[#This Row],[Card Name]]," is a ",Table1[[#This Row],[Group Representation]],".  The ", Table1[[#This Row],[Card Name]]," is the card of ",Table1[[#This Row],[Indicitive of]],".  ",Table1[[#This Row],[Radiant Wise Description]])</f>
        <v>Knight/Prince/Young Adult is the value of the Knight of Swords. The Knight of Swords is a Pre-destined card of Fate.  Indicate Element and Personality traits. Symbolic-Court cards (16 male, 16 female - Stages of maturity (depending on suit and level of maturity) Court cards represent a combination of Element and Personal.  The Knight of Swords is the card of Ideas, Conflict, Options; network and brainstorm.  The night of swords contains the explosive energy of a virile young man Set off in the world to plot his own course. Decisive action. Speaking and doing before thinking it over. Bravery and skill. Mental prowess and extreme behavior. Destroy preconceive notion’s and rapid movement met forward. Speed and prowess. Action and swiftness toward the resolution of the situation. Quest undertaken for the greatest prize.</v>
      </c>
      <c r="H64" s="27" t="s">
        <v>369</v>
      </c>
      <c r="I64" s="20" t="s">
        <v>349</v>
      </c>
      <c r="J64" s="20" t="s">
        <v>30</v>
      </c>
      <c r="K64" s="20" t="s">
        <v>108</v>
      </c>
      <c r="L64" s="20" t="s">
        <v>149</v>
      </c>
      <c r="M64"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Knight/Young Adult of Swords is the card of  The Knight of Swords card´s suit is the suit of the Swords. The card of Knight of Swords is indicitive of Ideas, Conflict, Options; network and brainstorm. The Knight of Swords Action, Quest, Movement The night of swords contains the explosive energy of a virile young man Set off in the world to plot his own course. Decisive action. Speaking and doing before thinking it over. Bravery and skill. Mental prowess and extreme behavior. Destroy preconceive notion’s and rapid movement met forward. Speed and prowess. Action and swiftness toward the resolution of the situation. Quest undertaken for the greatest prize.  The divine message to be found in this card is:  ",[@[Divinatory Meaning]],".</v>
      </c>
      <c r="N64" s="21" t="s">
        <v>431</v>
      </c>
      <c r="O64" s="20" t="s">
        <v>496</v>
      </c>
      <c r="P64" s="20" t="s">
        <v>552</v>
      </c>
      <c r="Q64" s="20" t="s">
        <v>582</v>
      </c>
      <c r="R64" s="20" t="s">
        <v>822</v>
      </c>
      <c r="S64" s="20" t="s">
        <v>646</v>
      </c>
      <c r="T64" s="20"/>
      <c r="U64" s="20" t="s">
        <v>593</v>
      </c>
      <c r="V64" s="20" t="s">
        <v>594</v>
      </c>
      <c r="W64"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Knight of Swords is represented by the Zodiac sign Gemini, Libra, Aquarius and symbol ♊ ♎ ♒.The element of Air. It has a Masculine quality and is associated with the color Yellow and the direction of East. This sign is represented by the  and the stone(s) of . The Astrological influence is Fire of Air .</v>
      </c>
      <c r="X64" s="20"/>
      <c r="Y64" s="20"/>
      <c r="Z64" s="20"/>
      <c r="AA64" s="20"/>
      <c r="AB64" s="20"/>
    </row>
    <row r="65" spans="1:28" ht="134.25" customHeight="1" x14ac:dyDescent="0.25">
      <c r="A65" s="2" t="s">
        <v>24</v>
      </c>
      <c r="B65" s="21" t="s">
        <v>808</v>
      </c>
      <c r="C65" s="20"/>
      <c r="D65" s="20"/>
      <c r="E65" s="28" t="s">
        <v>203</v>
      </c>
      <c r="F65" s="20" t="s">
        <v>543</v>
      </c>
      <c r="G65" s="22" t="str">
        <f>_xlfn.CONCAT(Table1[[#This Row],[Numerical value]]," is the value of the ",Table1[[#This Row],[Card Name]],". The ",Table1[[#This Row],[Card Name]]," is a ",Table1[[#This Row],[Group Representation]],".  The ", Table1[[#This Row],[Card Name]]," is the card of ",Table1[[#This Row],[Indicitive of]],".  ",Table1[[#This Row],[Radiant Wise Description]])</f>
        <v>Page/Princess/Child is the value of the Page of Swords. The Page of Swords is a Pre-destined card of Fate.  Indicate Element and Personality traits. Symbolic-Court cards (16 male, 16 female - Stages of maturity (depending on suit and level of maturity) Court cards represent a combination of Element and Personal.  The Page of Swords is the card of Reaction, Defense; methods are harsh and stormy, (prince) Clear, Consistent, Sharp, Focused, (princess) Allow strife, troubles and worry to collapse.  The page of swords is graced with the sharpest mind of the deck. Nothing escapes her clever observations. She reflects the part of the mind able to solve riddles, be independent and become fascinated by the possibility of an ever expanding intellect. Clever sleuth. Detective mindset. Reading between the lines. Adventure. Intrigue is a foot.</v>
      </c>
      <c r="H65" s="27" t="s">
        <v>277</v>
      </c>
      <c r="I65" s="20" t="s">
        <v>350</v>
      </c>
      <c r="J65" s="20" t="s">
        <v>31</v>
      </c>
      <c r="K65" s="20" t="s">
        <v>109</v>
      </c>
      <c r="L65" s="20" t="s">
        <v>150</v>
      </c>
      <c r="M65"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Page/Child of Swords is the card of  The Page of Swords card´s suit is the suit of the Swords. The card of Page of Swords is indicitive of Reaction, Defense; methods are harsh and stormy, (prince) Clear, Consistent, Sharp, Focused, (princess) Allow strife, troubles and worry to collapse. The Page of Swords Exploration, Seeking, Learning The page of swords is graced with the sharpest mind of the deck. Nothing escapes her clever observations. She reflects the part of the mind able to solve riddles, be independent and become fascinated by the possibility of an ever expanding intellect. Clever sleuth. Detective mindset. Reading between the lines. Adventure. Intrigue is a foot.  The divine message to be found in this card is:  ",[@[Divinatory Meaning]],".</v>
      </c>
      <c r="N65" s="21" t="s">
        <v>432</v>
      </c>
      <c r="O65" s="20" t="s">
        <v>497</v>
      </c>
      <c r="P65" s="20" t="s">
        <v>552</v>
      </c>
      <c r="Q65" s="20" t="s">
        <v>582</v>
      </c>
      <c r="R65" s="20" t="s">
        <v>822</v>
      </c>
      <c r="S65" s="20" t="s">
        <v>647</v>
      </c>
      <c r="T65" s="20"/>
      <c r="U65" s="20" t="s">
        <v>593</v>
      </c>
      <c r="V65" s="20" t="s">
        <v>594</v>
      </c>
      <c r="W65"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Page of Swords is represented by the Zodiac sign Gemini, Libra, Aquarius and symbol ♊ ♎ ♒.The element of Air. It has a Masculine quality and is associated with the color Yellow and the direction of East. This sign is represented by the  and the stone(s) of . The Astrological influence is Female Earth of Air, Male Air of Air .</v>
      </c>
      <c r="X65" s="20"/>
      <c r="Y65" s="20"/>
      <c r="Z65" s="20"/>
      <c r="AA65" s="20"/>
      <c r="AB65" s="20"/>
    </row>
    <row r="66" spans="1:28" ht="134.25" customHeight="1" x14ac:dyDescent="0.25">
      <c r="A66" s="2" t="s">
        <v>22</v>
      </c>
      <c r="B66" s="21" t="s">
        <v>23</v>
      </c>
      <c r="C66" s="20" t="s">
        <v>815</v>
      </c>
      <c r="D66" s="20"/>
      <c r="E66" s="28" t="s">
        <v>158</v>
      </c>
      <c r="F66" s="20" t="s">
        <v>544</v>
      </c>
      <c r="G66"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Ace is the value of the Ace of Pentacles. The Ace of Pentacles is a All Minor cards are indicitive of choice and indicate an element..  The Ace of Pentacles is the card of Manifestation, Money.  Manifestation. Birth. Money. Inheritance. A hand reaches out of a mysterious billowing, white clouds with a golden pentacle resting and its palm. The ace of pentacles is the seed and beginning of the element of earth. It is all things you can see, feel and touch. It is DNA, the form and shape of everything that exists in material form from people to animal, vegetable, and mineral. Flowers burst in the fertile garden. A doorway out of the garden is open and waiting for you to walk through into your Wildest dreams. </v>
      </c>
      <c r="H66" s="27" t="s">
        <v>278</v>
      </c>
      <c r="I66" s="20" t="s">
        <v>351</v>
      </c>
      <c r="J66" s="20" t="s">
        <v>32</v>
      </c>
      <c r="K66" s="20" t="s">
        <v>110</v>
      </c>
      <c r="L66" s="20" t="s">
        <v>137</v>
      </c>
      <c r="M66"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Ace of Pentacles is the card of  The Ace of Pentacles card´s suit is the suit of the Pentacles. The card of Ace of Pentacles is indicitive of Manifestation, Money. The Ace of Pentacles Ace is a Pre-destined card of Fate. New beginnings and opportunities Manifestation. Birth. Money. Inheritance. A hand reaches out of a mysterious billowing, white clouds with a golden pentacle resting and its palm. The ace of pentacles is the seed and beginning of the element of earth. It is all things you can see, feel and touch. It is DNA, the form and shape of everything that exists in material form from people to animal, vegetable, and mineral. Flowers burst in the fertile garden. A doorway out of the garden is open and waiting for you to walk through into your Wildest dreams.   The divine message to be found in this card is:  ",[@[Divinatory Meaning]],".</v>
      </c>
      <c r="N66" s="21" t="s">
        <v>428</v>
      </c>
      <c r="O66" s="20" t="s">
        <v>498</v>
      </c>
      <c r="P66" s="20" t="s">
        <v>557</v>
      </c>
      <c r="Q66" s="20" t="s">
        <v>583</v>
      </c>
      <c r="R66" s="20" t="s">
        <v>823</v>
      </c>
      <c r="S66" s="20" t="s">
        <v>648</v>
      </c>
      <c r="T66" s="20"/>
      <c r="U66" s="20" t="s">
        <v>599</v>
      </c>
      <c r="V66" s="20" t="s">
        <v>600</v>
      </c>
      <c r="W66"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Ace of Pentacles is represented by the Zodiac sign Virgo, Capricorn, Taurus and symbol ♍ ♑ ♉.The element of Earth. It has a Masculine quality and is associated with the color White and the direction of North. This sign is represented by the  and the stone(s) of . The Astrological influence is Spirit of Earth .</v>
      </c>
      <c r="X66" s="20"/>
      <c r="Y66" s="20"/>
      <c r="Z66" s="20"/>
      <c r="AA66" s="20"/>
      <c r="AB66" s="20"/>
    </row>
    <row r="67" spans="1:28" ht="134.25" customHeight="1" x14ac:dyDescent="0.25">
      <c r="A67" s="2" t="s">
        <v>22</v>
      </c>
      <c r="B67" s="21" t="s">
        <v>23</v>
      </c>
      <c r="C67" s="20"/>
      <c r="D67" s="20"/>
      <c r="E67" s="28" t="s">
        <v>165</v>
      </c>
      <c r="F67" s="20" t="s">
        <v>544</v>
      </c>
      <c r="G67"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2 is the value of the 2 of Pentacles. The 2 of Pentacles is a All Minor cards are indicitive of choice and indicate an element..  The 2 of Pentacles is the card of Change.  Weighing options. Choices to be made but either option is satisfactory. Balance and being quick on your feet. A fellow plays with two pentacles demonstrating a joyful approach to life. Rocking ocean waves are painted on the scrim behind him. It reflects undulation and going with the flow to stay buoyant no matter what challenges appear before you. Two ships travel to see suggesting unexpected surprises and developments occurring soon. Decide for yourself what is the best course of action. You know, better than anyone else, how to juggle life‘s intrigues, mysteries and possibilities. Enjoy the dance!  </v>
      </c>
      <c r="H67" s="27" t="s">
        <v>279</v>
      </c>
      <c r="I67" s="20" t="s">
        <v>352</v>
      </c>
      <c r="J67" s="20" t="s">
        <v>33</v>
      </c>
      <c r="K67" s="20" t="s">
        <v>111</v>
      </c>
      <c r="L67" s="20" t="s">
        <v>138</v>
      </c>
      <c r="M67"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2 of Pentacles is the card of  The 2 of Pentacles card´s suit is the suit of the Pentacles. The card of 2 of Pentacles is indicitive of Change. The 2 of Pentacles Partnership, Balance Weighing options. Choices to be made but either option is satisfactory. Balance and being quick on your feet. A fellow plays with two pentacles demonstrating a joyful approach to life. Rocking ocean waves are painted on the scrim behind him. It reflects undulation and going with the flow to stay buoyant no matter what challenges appear before you. Two ships travel to see suggesting unexpected surprises and developments occurring soon. Decide for yourself what is the best course of action. You know, better than anyone else, how to juggle life‘s intrigues, mysteries and possibilities. Enjoy the dance!    The divine message to be found in this card is:  ",[@[Divinatory Meaning]],".</v>
      </c>
      <c r="N67" s="21">
        <v>2</v>
      </c>
      <c r="O67" s="20" t="s">
        <v>499</v>
      </c>
      <c r="P67" s="20" t="s">
        <v>557</v>
      </c>
      <c r="Q67" s="20" t="s">
        <v>583</v>
      </c>
      <c r="R67" s="20" t="s">
        <v>823</v>
      </c>
      <c r="S67" s="20" t="s">
        <v>649</v>
      </c>
      <c r="T67" s="20"/>
      <c r="U67" s="20" t="s">
        <v>599</v>
      </c>
      <c r="V67" s="20" t="s">
        <v>600</v>
      </c>
      <c r="W67"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2 of Pentacles is represented by the Zodiac sign Virgo, Capricorn, Taurus and symbol ♍ ♑ ♉.The element of Earth. It has a Masculine quality and is associated with the color White and the direction of North. This sign is represented by the  and the stone(s) of . The Astrological influence is Jupiter in Capricorn .</v>
      </c>
      <c r="X67" s="20"/>
      <c r="Y67" s="20"/>
      <c r="Z67" s="20"/>
      <c r="AA67" s="20"/>
      <c r="AB67" s="20"/>
    </row>
    <row r="68" spans="1:28" ht="134.25" customHeight="1" x14ac:dyDescent="0.25">
      <c r="A68" s="2" t="s">
        <v>22</v>
      </c>
      <c r="B68" s="21" t="s">
        <v>23</v>
      </c>
      <c r="C68" s="20"/>
      <c r="D68" s="20"/>
      <c r="E68" s="28" t="s">
        <v>166</v>
      </c>
      <c r="F68" s="20" t="s">
        <v>544</v>
      </c>
      <c r="G68"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3 is the value of the 3 of Pentacles. The 3 of Pentacles is a All Minor cards are indicitive of choice and indicate an element..  The 3 of Pentacles is the card of Good work, Hard work.  The creative principal. Working together to make things. Ingenuity. Three figures stand under a triangle shape of three pentacles inside a cathedral. They represent collaboration with other people and combining natural talents and gifts. The figure on the left where is a Freemason apron and holds masonic tools and stands on a masonic bench. This suggests the building of something important. Three is the number of creativity and pentacles reflect the material world. Therefore, the three of pentacles reflects the creativity and expansion of all things you can see, smell, here, and taste          </v>
      </c>
      <c r="H68" s="27" t="s">
        <v>280</v>
      </c>
      <c r="I68" s="20" t="s">
        <v>353</v>
      </c>
      <c r="J68" s="20" t="s">
        <v>34</v>
      </c>
      <c r="K68" s="20" t="s">
        <v>112</v>
      </c>
      <c r="L68" s="20" t="s">
        <v>139</v>
      </c>
      <c r="M68"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3 of Pentacles is the card of  The 3 of Pentacles card´s suit is the suit of the Pentacles. The card of 3 of Pentacles is indicitive of Good work, Hard work. The 3 of Pentacles Trinity, Magic The creative principal. Working together to make things. Ingenuity. Three figures stand under a triangle shape of three pentacles inside a cathedral. They represent collaboration with other people and combining natural talents and gifts. The figure on the left where is a Freemason apron and holds masonic tools and stands on a masonic bench. This suggests the building of something important. Three is the number of creativity and pentacles reflect the material world. Therefore, the three of pentacles reflects the creativity and expansion of all things you can see, smell, here, and taste            The divine message to be found in this card is:  ",[@[Divinatory Meaning]],".</v>
      </c>
      <c r="N68" s="21">
        <v>3</v>
      </c>
      <c r="O68" s="20" t="s">
        <v>500</v>
      </c>
      <c r="P68" s="20" t="s">
        <v>557</v>
      </c>
      <c r="Q68" s="20" t="s">
        <v>583</v>
      </c>
      <c r="R68" s="20" t="s">
        <v>823</v>
      </c>
      <c r="S68" s="20" t="s">
        <v>650</v>
      </c>
      <c r="T68" s="20"/>
      <c r="U68" s="20" t="s">
        <v>599</v>
      </c>
      <c r="V68" s="20" t="s">
        <v>600</v>
      </c>
      <c r="W68"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3 of Pentacles is represented by the Zodiac sign Virgo, Capricorn, Taurus and symbol ♍ ♑ ♉.The element of Earth. It has a Masculine quality and is associated with the color White and the direction of North. This sign is represented by the  and the stone(s) of . The Astrological influence is Mars in Capricorn .</v>
      </c>
      <c r="X68" s="20"/>
      <c r="Y68" s="20"/>
      <c r="Z68" s="20"/>
      <c r="AA68" s="20"/>
      <c r="AB68" s="20"/>
    </row>
    <row r="69" spans="1:28" ht="134.25" customHeight="1" x14ac:dyDescent="0.25">
      <c r="A69" s="2" t="s">
        <v>22</v>
      </c>
      <c r="B69" s="21" t="s">
        <v>23</v>
      </c>
      <c r="C69" s="20"/>
      <c r="D69" s="20"/>
      <c r="E69" s="28" t="s">
        <v>167</v>
      </c>
      <c r="F69" s="20" t="s">
        <v>544</v>
      </c>
      <c r="G69" s="22" t="str">
        <f>_xlfn.CONCAT(Table1[[#This Row],[Numerical value]]," is the value of the ",Table1[[#This Row],[Card Name]],". The ",Table1[[#This Row],[Card Name]]," is a ",Table1[[#This Row],[Group Representation]],".  The ", Table1[[#This Row],[Card Name]]," is the card of ",Table1[[#This Row],[Indicitive of]],".  ",Table1[[#This Row],[Radiant Wise Description]])</f>
        <v>4 is the value of the 4 of Pentacles. The 4 of Pentacles is a All Minor cards are indicitive of choice and indicate an element..  The 4 of Pentacles is the card of Greed-Power foundation.  I figure sits with a pentacle balancing on his head or crown chakra, and his heart chakra, and beneath his feet. He clings dearly to the material world. The city behind him represents commerce and his accrued income. He is holding on tight to savings. Security of animal, vegetable, and mineral. Stability in the material world. It is an early success but also the fear of losing what one has gained.</v>
      </c>
      <c r="H69" s="27" t="s">
        <v>281</v>
      </c>
      <c r="I69" s="20" t="s">
        <v>354</v>
      </c>
      <c r="J69" s="20" t="s">
        <v>35</v>
      </c>
      <c r="K69" s="20" t="s">
        <v>113</v>
      </c>
      <c r="L69" s="20" t="s">
        <v>140</v>
      </c>
      <c r="M69"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4 of Pentacles is the card of  The 4 of Pentacles card´s suit is the suit of the Pentacles. The card of 4 of Pentacles is indicitive of Greed-Power foundation. The 4 of Pentacles Foundation, Completion I figure sits with a pentacle balancing on his head or crown chakra, and his heart chakra, and beneath his feet. He clings dearly to the material world. The city behind him represents commerce and his accrued income. He is holding on tight to savings. Security of animal, vegetable, and mineral. Stability in the material world. It is an early success but also the fear of losing what one has gained.  The divine message to be found in this card is:  ",[@[Divinatory Meaning]],".</v>
      </c>
      <c r="N69" s="21">
        <v>4</v>
      </c>
      <c r="O69" s="20" t="s">
        <v>501</v>
      </c>
      <c r="P69" s="20" t="s">
        <v>557</v>
      </c>
      <c r="Q69" s="20" t="s">
        <v>583</v>
      </c>
      <c r="R69" s="20" t="s">
        <v>823</v>
      </c>
      <c r="S69" s="20" t="s">
        <v>651</v>
      </c>
      <c r="T69" s="20"/>
      <c r="U69" s="20" t="s">
        <v>599</v>
      </c>
      <c r="V69" s="20" t="s">
        <v>600</v>
      </c>
      <c r="W69"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4 of Pentacles is represented by the Zodiac sign Virgo, Capricorn, Taurus and symbol ♍ ♑ ♉.The element of Earth. It has a Masculine quality and is associated with the color White and the direction of North. This sign is represented by the  and the stone(s) of . The Astrological influence is Sun in Capricorn .</v>
      </c>
      <c r="X69" s="20"/>
      <c r="Y69" s="20"/>
      <c r="Z69" s="20"/>
      <c r="AA69" s="20"/>
      <c r="AB69" s="20"/>
    </row>
    <row r="70" spans="1:28" ht="134.25" customHeight="1" x14ac:dyDescent="0.25">
      <c r="A70" s="2" t="s">
        <v>22</v>
      </c>
      <c r="B70" s="21" t="s">
        <v>23</v>
      </c>
      <c r="C70" s="20"/>
      <c r="D70" s="20"/>
      <c r="E70" s="28" t="s">
        <v>168</v>
      </c>
      <c r="F70" s="20" t="s">
        <v>544</v>
      </c>
      <c r="G70" s="22" t="str">
        <f>_xlfn.CONCAT(Table1[[#This Row],[Numerical value]]," is the value of the ",Table1[[#This Row],[Card Name]],". The ",Table1[[#This Row],[Card Name]]," is a ",Table1[[#This Row],[Group Representation]],".  The ", Table1[[#This Row],[Card Name]]," is the card of ",Table1[[#This Row],[Indicitive of]],".  ",Table1[[#This Row],[Radiant Wise Description]])</f>
        <v>5 is the value of the 5 of Pentacles. The 5 of Pentacles is a All Minor cards are indicitive of choice and indicate an element..  The 5 of Pentacles is the card of Worry, Poverty.  Dark night of the soul. A couple walks through a blinding snowstorm. They are bandaged, hobbled, and appear cold and feeble. They are seemingly oblivious to the warm glow of the church beside them. A Stainglass window holding five pentacles in the graphic design of the upper portion of the tree of life. Salvation is there if only they look. The downside and rough patches of long-term relationships. Loss but not the end. Hope and salvation for those who see.</v>
      </c>
      <c r="H70" s="27" t="s">
        <v>282</v>
      </c>
      <c r="I70" s="20" t="s">
        <v>355</v>
      </c>
      <c r="J70" s="20" t="s">
        <v>36</v>
      </c>
      <c r="K70" s="20" t="s">
        <v>114</v>
      </c>
      <c r="L70" s="20" t="s">
        <v>141</v>
      </c>
      <c r="M70"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5 of Pentacles is the card of  The 5 of Pentacles card´s suit is the suit of the Pentacles. The card of 5 of Pentacles is indicitive of Worry, Poverty. The 5 of Pentacles Strife, Chaos Dark night of the soul. A couple walks through a blinding snowstorm. They are bandaged, hobbled, and appear cold and feeble. They are seemingly oblivious to the warm glow of the church beside them. A Stainglass window holding five pentacles in the graphic design of the upper portion of the tree of life. Salvation is there if only they look. The downside and rough patches of long-term relationships. Loss but not the end. Hope and salvation for those who see.  The divine message to be found in this card is:  ",[@[Divinatory Meaning]],".</v>
      </c>
      <c r="N70" s="21">
        <v>5</v>
      </c>
      <c r="O70" s="20" t="s">
        <v>502</v>
      </c>
      <c r="P70" s="20" t="s">
        <v>557</v>
      </c>
      <c r="Q70" s="20" t="s">
        <v>583</v>
      </c>
      <c r="R70" s="20" t="s">
        <v>823</v>
      </c>
      <c r="S70" s="20" t="s">
        <v>652</v>
      </c>
      <c r="T70" s="20"/>
      <c r="U70" s="20" t="s">
        <v>599</v>
      </c>
      <c r="V70" s="20" t="s">
        <v>600</v>
      </c>
      <c r="W70"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5 of Pentacles is represented by the Zodiac sign Virgo, Capricorn, Taurus and symbol ♍ ♑ ♉.The element of Earth. It has a Masculine quality and is associated with the color White and the direction of North. This sign is represented by the  and the stone(s) of . The Astrological influence is Mercury in Taurus .</v>
      </c>
      <c r="X70" s="20"/>
      <c r="Y70" s="20"/>
      <c r="Z70" s="20"/>
      <c r="AA70" s="20"/>
      <c r="AB70" s="20"/>
    </row>
    <row r="71" spans="1:28" ht="134.25" customHeight="1" x14ac:dyDescent="0.25">
      <c r="A71" s="2" t="s">
        <v>22</v>
      </c>
      <c r="B71" s="21" t="s">
        <v>23</v>
      </c>
      <c r="C71" s="20"/>
      <c r="D71" s="20"/>
      <c r="E71" s="28" t="s">
        <v>169</v>
      </c>
      <c r="F71" s="20" t="s">
        <v>544</v>
      </c>
      <c r="G71" s="22" t="str">
        <f>_xlfn.CONCAT(Table1[[#This Row],[Numerical value]]," is the value of the ",Table1[[#This Row],[Card Name]],". The ",Table1[[#This Row],[Card Name]]," is a ",Table1[[#This Row],[Group Representation]],".  The ", Table1[[#This Row],[Card Name]]," is the card of ",Table1[[#This Row],[Indicitive of]],".  ",Table1[[#This Row],[Radiant Wise Description]])</f>
        <v>6 is the value of the 6 of Pentacles. The 6 of Pentacles is a All Minor cards are indicitive of choice and indicate an element..  The 6 of Pentacles is the card of Success.  The idea of wealth and poverty is continued from the five pentacles to the six of pentacles. To beggar’s are seen receiving money from a wealthy merchant who holds balancing skills as if to measure out his good deeds. Is charity given from the heart or is it performed with a sense of having power and control over one less fortunate? The city in the background and plays wealth in commerce. The posture of the characters implies hierarchy.</v>
      </c>
      <c r="H71" s="27" t="s">
        <v>283</v>
      </c>
      <c r="I71" s="20" t="s">
        <v>356</v>
      </c>
      <c r="J71" s="20" t="s">
        <v>37</v>
      </c>
      <c r="K71" s="20" t="s">
        <v>115</v>
      </c>
      <c r="L71" s="20" t="s">
        <v>142</v>
      </c>
      <c r="M71"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6 of Pentacles is the card of  The 6 of Pentacles card´s suit is the suit of the Pentacles. The card of 6 of Pentacles is indicitive of Success. The 6 of Pentacles Perfection, Beauty The idea of wealth and poverty is continued from the five pentacles to the six of pentacles. To beggar’s are seen receiving money from a wealthy merchant who holds balancing skills as if to measure out his good deeds. Is charity given from the heart or is it performed with a sense of having power and control over one less fortunate? The city in the background and plays wealth in commerce. The posture of the characters implies hierarchy.  The divine message to be found in this card is:  ",[@[Divinatory Meaning]],".</v>
      </c>
      <c r="N71" s="21">
        <v>6</v>
      </c>
      <c r="O71" s="20" t="s">
        <v>503</v>
      </c>
      <c r="P71" s="20" t="s">
        <v>557</v>
      </c>
      <c r="Q71" s="20" t="s">
        <v>583</v>
      </c>
      <c r="R71" s="20" t="s">
        <v>823</v>
      </c>
      <c r="S71" s="20" t="s">
        <v>653</v>
      </c>
      <c r="T71" s="20"/>
      <c r="U71" s="20" t="s">
        <v>599</v>
      </c>
      <c r="V71" s="20" t="s">
        <v>600</v>
      </c>
      <c r="W71"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6 of Pentacles is represented by the Zodiac sign Virgo, Capricorn, Taurus and symbol ♍ ♑ ♉.The element of Earth. It has a Masculine quality and is associated with the color White and the direction of North. This sign is represented by the  and the stone(s) of . The Astrological influence is Moon in Taurus .</v>
      </c>
      <c r="X71" s="20"/>
      <c r="Y71" s="20"/>
      <c r="Z71" s="20"/>
      <c r="AA71" s="20"/>
      <c r="AB71" s="20"/>
    </row>
    <row r="72" spans="1:28" ht="134.25" customHeight="1" x14ac:dyDescent="0.25">
      <c r="A72" s="2" t="s">
        <v>22</v>
      </c>
      <c r="B72" s="21" t="s">
        <v>23</v>
      </c>
      <c r="C72" s="20"/>
      <c r="D72" s="20"/>
      <c r="E72" s="28" t="s">
        <v>170</v>
      </c>
      <c r="F72" s="20" t="s">
        <v>544</v>
      </c>
      <c r="G72" s="22" t="str">
        <f>_xlfn.CONCAT(Table1[[#This Row],[Numerical value]]," is the value of the ",Table1[[#This Row],[Card Name]],". The ",Table1[[#This Row],[Card Name]]," is a ",Table1[[#This Row],[Group Representation]],".  The ", Table1[[#This Row],[Card Name]]," is the card of ",Table1[[#This Row],[Indicitive of]],".  ",Table1[[#This Row],[Radiant Wise Description]])</f>
        <v>7 is the value of the 7 of Pentacles. The 7 of Pentacles is a All Minor cards are indicitive of choice and indicate an element..  The 7 of Pentacles is the card of Delayed success, Failure.  Moments pause. Reflection. The figure leans on his farming tool and gazes at his crops. Seven pentacles appear as tendrils unfold and continue to grown. There is manifestation, perhaps earlier than expected, but what will happen next? How can you reinvest your fortune to yield even more pay off in the future? Unexpected results.</v>
      </c>
      <c r="H72" s="27" t="s">
        <v>284</v>
      </c>
      <c r="I72" s="20" t="s">
        <v>357</v>
      </c>
      <c r="J72" s="20" t="s">
        <v>38</v>
      </c>
      <c r="K72" s="20" t="s">
        <v>116</v>
      </c>
      <c r="L72" s="20" t="s">
        <v>143</v>
      </c>
      <c r="M72"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7 of Pentacles is the card of  The 7 of Pentacles card´s suit is the suit of the Pentacles. The card of 7 of Pentacles is indicitive of Delayed success, Failure. The 7 of Pentacles Spiritual Seeking, Questing Moments pause. Reflection. The figure leans on his farming tool and gazes at his crops. Seven pentacles appear as tendrils unfold and continue to grown. There is manifestation, perhaps earlier than expected, but what will happen next? How can you reinvest your fortune to yield even more pay off in the future? Unexpected results.  The divine message to be found in this card is:  ",[@[Divinatory Meaning]],".</v>
      </c>
      <c r="N72" s="21">
        <v>7</v>
      </c>
      <c r="O72" s="20" t="s">
        <v>504</v>
      </c>
      <c r="P72" s="20" t="s">
        <v>557</v>
      </c>
      <c r="Q72" s="20" t="s">
        <v>583</v>
      </c>
      <c r="R72" s="20" t="s">
        <v>823</v>
      </c>
      <c r="S72" s="20" t="s">
        <v>654</v>
      </c>
      <c r="T72" s="20"/>
      <c r="U72" s="20" t="s">
        <v>599</v>
      </c>
      <c r="V72" s="20" t="s">
        <v>600</v>
      </c>
      <c r="W72"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7 of Pentacles is represented by the Zodiac sign Virgo, Capricorn, Taurus and symbol ♍ ♑ ♉.The element of Earth. It has a Masculine quality and is associated with the color White and the direction of North. This sign is represented by the  and the stone(s) of . The Astrological influence is Saturn in Taurus .</v>
      </c>
      <c r="X72" s="20"/>
      <c r="Y72" s="20"/>
      <c r="Z72" s="20"/>
      <c r="AA72" s="20"/>
      <c r="AB72" s="20"/>
    </row>
    <row r="73" spans="1:28" ht="134.25" customHeight="1" x14ac:dyDescent="0.25">
      <c r="A73" s="2" t="s">
        <v>22</v>
      </c>
      <c r="B73" s="21" t="s">
        <v>23</v>
      </c>
      <c r="C73" s="20"/>
      <c r="D73" s="20"/>
      <c r="E73" s="28" t="s">
        <v>171</v>
      </c>
      <c r="F73" s="20" t="s">
        <v>544</v>
      </c>
      <c r="G73"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8 is the value of the 8 of Pentacles. The 8 of Pentacles is a All Minor cards are indicitive of choice and indicate an element..  The 8 of Pentacles is the card of Prudence, Pragmatism.  Hard work. Dedication to career and creativity you love. The figure sits on a bench and is hard at work. He is a craftsman. His bench, apron and tool are masonic symbols. He displays his work proudly. It is having pride in what you do and being fully invested in the effort you are taking to create something. It is often the process, not the results offering profound satisfaction, however in the case of the eight of pentacles, both the journey and results are aligned in harmony and full of success. Right Effort. Diligence. Display.       </v>
      </c>
      <c r="H73" s="27" t="s">
        <v>285</v>
      </c>
      <c r="I73" s="20" t="s">
        <v>358</v>
      </c>
      <c r="J73" s="20" t="s">
        <v>39</v>
      </c>
      <c r="K73" s="20" t="s">
        <v>117</v>
      </c>
      <c r="L73" s="20" t="s">
        <v>144</v>
      </c>
      <c r="M73"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8 of Pentacles is the card of  The 8 of Pentacles card´s suit is the suit of the Pentacles. The card of 8 of Pentacles is indicitive of Prudence, Pragmatism. The 8 of Pentacles Infinity, Stability Hard work. Dedication to career and creativity you love. The figure sits on a bench and is hard at work. He is a craftsman. His bench, apron and tool are masonic symbols. He displays his work proudly. It is having pride in what you do and being fully invested in the effort you are taking to create something. It is often the process, not the results offering profound satisfaction, however in the case of the eight of pentacles, both the journey and results are aligned in harmony and full of success. Right Effort. Diligence. Display.         The divine message to be found in this card is:  ",[@[Divinatory Meaning]],".</v>
      </c>
      <c r="N73" s="21">
        <v>8</v>
      </c>
      <c r="O73" s="20" t="s">
        <v>505</v>
      </c>
      <c r="P73" s="20" t="s">
        <v>557</v>
      </c>
      <c r="Q73" s="20" t="s">
        <v>583</v>
      </c>
      <c r="R73" s="20" t="s">
        <v>823</v>
      </c>
      <c r="S73" s="20" t="s">
        <v>655</v>
      </c>
      <c r="T73" s="20"/>
      <c r="U73" s="20" t="s">
        <v>599</v>
      </c>
      <c r="V73" s="20" t="s">
        <v>600</v>
      </c>
      <c r="W73"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8 of Pentacles is represented by the Zodiac sign Virgo, Capricorn, Taurus and symbol ♍ ♑ ♉.The element of Earth. It has a Masculine quality and is associated with the color White and the direction of North. This sign is represented by the  and the stone(s) of . The Astrological influence is Sun in Virgo .</v>
      </c>
      <c r="X73" s="20"/>
      <c r="Y73" s="20"/>
      <c r="Z73" s="20"/>
      <c r="AA73" s="20"/>
      <c r="AB73" s="20"/>
    </row>
    <row r="74" spans="1:28" ht="134.25" customHeight="1" x14ac:dyDescent="0.25">
      <c r="A74" s="2" t="s">
        <v>22</v>
      </c>
      <c r="B74" s="21" t="s">
        <v>23</v>
      </c>
      <c r="C74" s="20"/>
      <c r="D74" s="20"/>
      <c r="E74" s="28" t="s">
        <v>172</v>
      </c>
      <c r="F74" s="20" t="s">
        <v>544</v>
      </c>
      <c r="G74"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9 is the value of the 9 of Pentacles. The 9 of Pentacles is a All Minor cards are indicitive of choice and indicate an element..  The 9 of Pentacles is the card of Gain.  Quality time alone. Family lineage. A beautiful dressed woman in a fancy cloak enjoy solitude in her vineyard. The family estate is seen in the upper right corner. She is surrounded by grapes. Lush vegetation, and the animal world. A falcon rests on her glove, a sign of loyalty, training, and devotion. A snail crawls across the lower left side of the card implying a slow and gradual evolution. There is no need to Rush. Loyalty and appreciation of the good life.    </v>
      </c>
      <c r="H74" s="27" t="s">
        <v>286</v>
      </c>
      <c r="I74" s="20" t="s">
        <v>359</v>
      </c>
      <c r="J74" s="20" t="s">
        <v>40</v>
      </c>
      <c r="K74" s="20" t="s">
        <v>118</v>
      </c>
      <c r="L74" s="20" t="s">
        <v>145</v>
      </c>
      <c r="M74"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9 of Pentacles is the card of  The 9 of Pentacles card´s suit is the suit of the Pentacles. The card of 9 of Pentacles is indicitive of Gain. The 9 of Pentacles Master # of magic, Highest single digit number Quality time alone. Family lineage. A beautiful dressed woman in a fancy cloak enjoy solitude in her vineyard. The family estate is seen in the upper right corner. She is surrounded by grapes. Lush vegetation, and the animal world. A falcon rests on her glove, a sign of loyalty, training, and devotion. A snail crawls across the lower left side of the card implying a slow and gradual evolution. There is no need to Rush. Loyalty and appreciation of the good life.      The divine message to be found in this card is:  ",[@[Divinatory Meaning]],".</v>
      </c>
      <c r="N74" s="21">
        <v>9</v>
      </c>
      <c r="O74" s="20" t="s">
        <v>506</v>
      </c>
      <c r="P74" s="20" t="s">
        <v>557</v>
      </c>
      <c r="Q74" s="20" t="s">
        <v>583</v>
      </c>
      <c r="R74" s="20" t="s">
        <v>823</v>
      </c>
      <c r="S74" s="20" t="s">
        <v>656</v>
      </c>
      <c r="T74" s="20"/>
      <c r="U74" s="20" t="s">
        <v>599</v>
      </c>
      <c r="V74" s="20" t="s">
        <v>600</v>
      </c>
      <c r="W74"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9 of Pentacles is represented by the Zodiac sign Virgo, Capricorn, Taurus and symbol ♍ ♑ ♉.The element of Earth. It has a Masculine quality and is associated with the color White and the direction of North. This sign is represented by the  and the stone(s) of . The Astrological influence is Venus in Virgo .</v>
      </c>
      <c r="X74" s="20"/>
      <c r="Y74" s="20"/>
      <c r="Z74" s="20"/>
      <c r="AA74" s="20"/>
      <c r="AB74" s="20"/>
    </row>
    <row r="75" spans="1:28" ht="134.25" customHeight="1" x14ac:dyDescent="0.25">
      <c r="A75" s="2" t="s">
        <v>22</v>
      </c>
      <c r="B75" s="21" t="s">
        <v>23</v>
      </c>
      <c r="C75" s="20"/>
      <c r="D75" s="20"/>
      <c r="E75" s="28" t="s">
        <v>204</v>
      </c>
      <c r="F75" s="20" t="s">
        <v>544</v>
      </c>
      <c r="G75"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10 is the value of the 10 of Pentacles. The 10 of Pentacles is a All Minor cards are indicitive of choice and indicate an element..  The 10 of Pentacles is the card of Wealth.  Families and generations. Manifestation of all things. Harvest time. Three generations are seen standing at the threshold of the walled city. The old man may be the hermit, a grandfather or both. A married couple gays to one another. The child pets the family dogs. This is the card of complete manifestation in the material world lifting the veil and opening into the spiritual world. It is the card of looking beyond. It is the people, Places and things you hold near and dear.         </v>
      </c>
      <c r="H75" s="27" t="s">
        <v>287</v>
      </c>
      <c r="I75" s="20" t="s">
        <v>360</v>
      </c>
      <c r="J75" s="20" t="s">
        <v>41</v>
      </c>
      <c r="K75" s="20" t="s">
        <v>119</v>
      </c>
      <c r="L75" s="20" t="s">
        <v>146</v>
      </c>
      <c r="M75"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10 of Pentacles is the card of  The 10 of Pentacles card´s suit is the suit of the Pentacles. The card of 10 of Pentacles is indicitive of Wealth. The 10 of Pentacles Top number of fulfillment, Harvest Families and generations. Manifestation of all things. Harvest time. Three generations are seen standing at the threshold of the walled city. The old man may be the hermit, a grandfather or both. A married couple gays to one another. The child pets the family dogs. This is the card of complete manifestation in the material world lifting the veil and opening into the spiritual world. It is the card of looking beyond. It is the people, Places and things you hold near and dear.           The divine message to be found in this card is:  ",[@[Divinatory Meaning]],".</v>
      </c>
      <c r="N75" s="21">
        <v>10</v>
      </c>
      <c r="O75" s="20" t="s">
        <v>507</v>
      </c>
      <c r="P75" s="20" t="s">
        <v>557</v>
      </c>
      <c r="Q75" s="20" t="s">
        <v>583</v>
      </c>
      <c r="R75" s="20" t="s">
        <v>823</v>
      </c>
      <c r="S75" s="20" t="s">
        <v>657</v>
      </c>
      <c r="T75" s="20"/>
      <c r="U75" s="20" t="s">
        <v>599</v>
      </c>
      <c r="V75" s="20" t="s">
        <v>600</v>
      </c>
      <c r="W75"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10 of Pentacles is represented by the Zodiac sign Virgo, Capricorn, Taurus and symbol ♍ ♑ ♉.The element of Earth. It has a Masculine quality and is associated with the color White and the direction of North. This sign is represented by the  and the stone(s) of . The Astrological influence is Mercury in Virgo .</v>
      </c>
      <c r="X75" s="20"/>
      <c r="Y75" s="20"/>
      <c r="Z75" s="20"/>
      <c r="AA75" s="20"/>
      <c r="AB75" s="20"/>
    </row>
    <row r="76" spans="1:28" ht="134.25" customHeight="1" x14ac:dyDescent="0.25">
      <c r="A76" s="2" t="s">
        <v>24</v>
      </c>
      <c r="B76" s="21" t="s">
        <v>808</v>
      </c>
      <c r="C76" s="20"/>
      <c r="D76" s="20"/>
      <c r="E76" s="28" t="s">
        <v>205</v>
      </c>
      <c r="F76" s="20" t="s">
        <v>544</v>
      </c>
      <c r="G76" s="22" t="str">
        <f>_xlfn.CONCAT(Table1[[#This Row],[Numerical value]]," is the value of the ",Table1[[#This Row],[Card Name]],". The ",Table1[[#This Row],[Card Name]]," is a ",Table1[[#This Row],[Group Representation]],".  The ", Table1[[#This Row],[Card Name]]," is the card of ",Table1[[#This Row],[Indicitive of]],".  ",Table1[[#This Row],[Radiant Wise Description]])</f>
        <v>King/Father is the value of the King of Pentacles. The King of Pentacles is a Pre-destined card of Fate.  Indicate Element and Personality traits. Symbolic-Court cards (16 male, 16 female - Stages of maturity (depending on suit and level of maturity) Court cards represent a combination of Element and Personal.  The King of Pentacles is the card of Money connected, Solid as a rock, Reliable, Strong.  The king of pentacles sits on his throne a top a bustling city of commerce. Grapes and vegetation signify growth of all things in the material world. His eyes are closed as if to snooze reflecting his slow yet powerful energy. Success in the material world. Real estate and Holmes. Finance and business talent. Investing wisely. Enjoying the good life after working diligently to create it.</v>
      </c>
      <c r="H76" s="27" t="s">
        <v>288</v>
      </c>
      <c r="I76" s="20" t="s">
        <v>361</v>
      </c>
      <c r="J76" s="20" t="s">
        <v>42</v>
      </c>
      <c r="K76" s="20" t="s">
        <v>120</v>
      </c>
      <c r="L76" s="20" t="s">
        <v>147</v>
      </c>
      <c r="M76"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King/Father of Pentacles is the card of  The King of Pentacles card´s suit is the suit of the Pentacles. The card of King of Pentacles is indicitive of Money connected, Solid as a rock, Reliable, Strong. The King of Pentacles Mastery, Power, Strength The king of pentacles sits on his throne a top a bustling city of commerce. Grapes and vegetation signify growth of all things in the material world. His eyes are closed as if to snooze reflecting his slow yet powerful energy. Success in the material world. Real estate and Holmes. Finance and business talent. Investing wisely. Enjoying the good life after working diligently to create it.  The divine message to be found in this card is:  ",[@[Divinatory Meaning]],".</v>
      </c>
      <c r="N76" s="21" t="s">
        <v>429</v>
      </c>
      <c r="O76" s="20" t="s">
        <v>508</v>
      </c>
      <c r="P76" s="20" t="s">
        <v>557</v>
      </c>
      <c r="Q76" s="20" t="s">
        <v>583</v>
      </c>
      <c r="R76" s="20" t="s">
        <v>823</v>
      </c>
      <c r="S76" s="20" t="s">
        <v>658</v>
      </c>
      <c r="T76" s="20"/>
      <c r="U76" s="20" t="s">
        <v>599</v>
      </c>
      <c r="V76" s="20" t="s">
        <v>600</v>
      </c>
      <c r="W76"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King of Pentacles is represented by the Zodiac sign Virgo, Capricorn, Taurus and symbol ♍ ♑ ♉.The element of Earth. It has a Masculine quality and is associated with the color White and the direction of North. This sign is represented by the  and the stone(s) of . The Astrological influence is Aries and Taurus .</v>
      </c>
      <c r="X76" s="20"/>
      <c r="Y76" s="20"/>
      <c r="Z76" s="20"/>
      <c r="AA76" s="20"/>
      <c r="AB76" s="20"/>
    </row>
    <row r="77" spans="1:28" ht="134.25" customHeight="1" x14ac:dyDescent="0.25">
      <c r="A77" s="2" t="s">
        <v>24</v>
      </c>
      <c r="B77" s="21" t="s">
        <v>808</v>
      </c>
      <c r="C77" s="20"/>
      <c r="D77" s="20"/>
      <c r="E77" s="28" t="s">
        <v>206</v>
      </c>
      <c r="F77" s="20" t="s">
        <v>544</v>
      </c>
      <c r="G77" s="22" t="str">
        <f>_xlfn.CONCAT(Table1[[#This Row],[Numerical value]]," is the value of the ",Table1[[#This Row],[Card Name]],". The ",Table1[[#This Row],[Card Name]]," is a ",Table1[[#This Row],[Group Representation]],".  The ", Table1[[#This Row],[Card Name]]," is the card of ",Table1[[#This Row],[Indicitive of]],".  ",Table1[[#This Row],[Radiant Wise Description]])</f>
        <v xml:space="preserve">Queen/Mother is the value of the Queen of Pentacles. The Queen of Pentacles is a Pre-destined card of Fate.  Indicate Element and Personality traits. Symbolic-Court cards (16 male, 16 female - Stages of maturity (depending on suit and level of maturity) Court cards represent a combination of Element and Personal.  The Queen of Pentacles is the card of Prosperity, Wealth, Security, Comfort.  The queen of pentacles sits on a carved stone thrown in a lush garden. The bunny reflects fertility, the flowers represent manifestation in the natural world, and her red cloak signifies her passion towards all things. She is a mature female who presides over all earthly matters. She carries a nurturing personality. The goddess of the house and home. The ultimate caretaker, chef, home decorator. </v>
      </c>
      <c r="H77" s="27" t="s">
        <v>289</v>
      </c>
      <c r="I77" s="20" t="s">
        <v>362</v>
      </c>
      <c r="J77" s="20" t="s">
        <v>43</v>
      </c>
      <c r="K77" s="20" t="s">
        <v>121</v>
      </c>
      <c r="L77" s="20" t="s">
        <v>148</v>
      </c>
      <c r="M77"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Queen/Mother of Pentacles is the card of  The Queen of Pentacles card´s suit is the suit of the Pentacles. The card of Queen of Pentacles is indicitive of Prosperity, Wealth, Security, Comfort. The Queen of Pentacles Depth, Maturity The queen of pentacles sits on a carved stone thrown in a lush garden. The bunny reflects fertility, the flowers represent manifestation in the natural world, and her red cloak signifies her passion towards all things. She is a mature female who presides over all earthly matters. She carries a nurturing personality. The goddess of the house and home. The ultimate caretaker, chef, home decorator.   The divine message to be found in this card is:  ",[@[Divinatory Meaning]],".</v>
      </c>
      <c r="N77" s="21" t="s">
        <v>430</v>
      </c>
      <c r="O77" s="20" t="s">
        <v>509</v>
      </c>
      <c r="P77" s="20" t="s">
        <v>557</v>
      </c>
      <c r="Q77" s="20" t="s">
        <v>583</v>
      </c>
      <c r="R77" s="20" t="s">
        <v>823</v>
      </c>
      <c r="S77" s="20" t="s">
        <v>659</v>
      </c>
      <c r="T77" s="20"/>
      <c r="U77" s="20" t="s">
        <v>599</v>
      </c>
      <c r="V77" s="20" t="s">
        <v>600</v>
      </c>
      <c r="W77"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Queen of Pentacles is represented by the Zodiac sign Virgo, Capricorn, Taurus and symbol ♍ ♑ ♉.The element of Earth. It has a Masculine quality and is associated with the color White and the direction of North. This sign is represented by the  and the stone(s) of . The Astrological influence is Water of Earth .</v>
      </c>
      <c r="X77" s="20"/>
      <c r="Y77" s="20"/>
      <c r="Z77" s="20"/>
      <c r="AA77" s="20"/>
      <c r="AB77" s="20"/>
    </row>
    <row r="78" spans="1:28" ht="134.25" customHeight="1" x14ac:dyDescent="0.25">
      <c r="A78" s="2" t="s">
        <v>24</v>
      </c>
      <c r="B78" s="21" t="s">
        <v>808</v>
      </c>
      <c r="C78" s="20"/>
      <c r="D78" s="20"/>
      <c r="E78" s="28" t="s">
        <v>207</v>
      </c>
      <c r="F78" s="20" t="s">
        <v>544</v>
      </c>
      <c r="G78" s="22" t="str">
        <f>_xlfn.CONCAT(Table1[[#This Row],[Numerical value]]," is the value of the ",Table1[[#This Row],[Card Name]],". The ",Table1[[#This Row],[Card Name]]," is a ",Table1[[#This Row],[Group Representation]],".  The ", Table1[[#This Row],[Card Name]]," is the card of ",Table1[[#This Row],[Indicitive of]],".  ",Table1[[#This Row],[Radiant Wise Description]])</f>
        <v>Knight/Prince/Young Adult is the value of the Knight of Pentacles. The Knight of Pentacles is a Pre-destined card of Fate.  Indicate Element and Personality traits. Symbolic-Court cards (16 male, 16 female - Stages of maturity (depending on suit and level of maturity) Court cards represent a combination of Element and Personal.  The Knight of Pentacles is the card of Stagnation, Lull in activities, fallow fields.  Physical and sensual. The night of pentacles carries the slowest moving energy of the deck. He looks at other above the pentacle in his hand considering his next move. Will he plant the pentacle like a seed in the freshly plowed field beside him or will he slip it into his pocket and ride into the sunset? Plotting and planning for the future. Introspective. Slow moving energy that yields incredible results.</v>
      </c>
      <c r="H78" s="27" t="s">
        <v>290</v>
      </c>
      <c r="I78" s="20" t="s">
        <v>363</v>
      </c>
      <c r="J78" s="20" t="s">
        <v>44</v>
      </c>
      <c r="K78" s="20" t="s">
        <v>122</v>
      </c>
      <c r="L78" s="20" t="s">
        <v>149</v>
      </c>
      <c r="M78"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Knight/Young Adult of Pentacles is the card of  The Knight of Pentacles card´s suit is the suit of the Pentacles. The card of Knight of Pentacles is indicitive of Stagnation, Lull in activities, fallow fields. The Knight of Pentacles Action, Quest, Movement Physical and sensual. The night of pentacles carries the slowest moving energy of the deck. He looks at other above the pentacle in his hand considering his next move. Will he plant the pentacle like a seed in the freshly plowed field beside him or will he slip it into his pocket and ride into the sunset? Plotting and planning for the future. Introspective. Slow moving energy that yields incredible results.  The divine message to be found in this card is:  ",[@[Divinatory Meaning]],".</v>
      </c>
      <c r="N78" s="21" t="s">
        <v>431</v>
      </c>
      <c r="O78" s="20" t="s">
        <v>510</v>
      </c>
      <c r="P78" s="20" t="s">
        <v>557</v>
      </c>
      <c r="Q78" s="20" t="s">
        <v>583</v>
      </c>
      <c r="R78" s="20" t="s">
        <v>823</v>
      </c>
      <c r="S78" s="20" t="s">
        <v>660</v>
      </c>
      <c r="T78" s="20"/>
      <c r="U78" s="20" t="s">
        <v>599</v>
      </c>
      <c r="V78" s="20" t="s">
        <v>600</v>
      </c>
      <c r="W78"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Knight of Pentacles is represented by the Zodiac sign Virgo, Capricorn, Taurus and symbol ♍ ♑ ♉.The element of Earth. It has a Masculine quality and is associated with the color White and the direction of North. This sign is represented by the  and the stone(s) of . The Astrological influence is Fire of Earth .</v>
      </c>
      <c r="X78" s="20"/>
      <c r="Y78" s="20"/>
      <c r="Z78" s="20"/>
      <c r="AA78" s="20"/>
      <c r="AB78" s="20"/>
    </row>
    <row r="79" spans="1:28" ht="134.25" customHeight="1" x14ac:dyDescent="0.25">
      <c r="A79" s="2" t="s">
        <v>24</v>
      </c>
      <c r="B79" s="21" t="s">
        <v>808</v>
      </c>
      <c r="C79" s="20"/>
      <c r="D79" s="20"/>
      <c r="E79" s="28" t="s">
        <v>208</v>
      </c>
      <c r="F79" s="20" t="s">
        <v>544</v>
      </c>
      <c r="G79" s="22" t="str">
        <f>_xlfn.CONCAT(Table1[[#This Row],[Numerical value]]," is the value of the ",Table1[[#This Row],[Card Name]],". The ",Table1[[#This Row],[Card Name]]," is a ",Table1[[#This Row],[Group Representation]],".  The ", Table1[[#This Row],[Card Name]]," is the card of ",Table1[[#This Row],[Indicitive of]],".  ",Table1[[#This Row],[Radiant Wise Description]])</f>
        <v>Page/Princess/Child is the value of the Page of Pentacles. The Page of Pentacles is a Pre-destined card of Fate.  Indicate Element and Personality traits. Symbolic-Court cards (16 male, 16 female - Stages of maturity (depending on suit and level of maturity) Court cards represent a combination of Element and Personal.  The Page of Pentacles is the card of Prosperity, learning how the material world functions, (prince) Solid and reliable in practical matters, Order, (princess) Apprenticeship, New learning, Practical craft for trade.  The child of earth holds an innocent nature. It reflects the parts of yourself that is lost in play, exploration and treasures of the material world. An upturn field behind the page is the bed of possibility. What will you plant? What do you want? And attentive student. Focusing on studies and school work. Thoughtful and curious nature. Focus and fascination. Playful and creative.</v>
      </c>
      <c r="H79" s="27" t="s">
        <v>291</v>
      </c>
      <c r="I79" s="20" t="s">
        <v>364</v>
      </c>
      <c r="J79" s="20" t="s">
        <v>45</v>
      </c>
      <c r="K79" s="20" t="s">
        <v>123</v>
      </c>
      <c r="L79" s="20" t="s">
        <v>150</v>
      </c>
      <c r="M79" s="29" t="str">
        <f>_xlfn.CONCAT("The ",Table1[[#This Row],[Card Title &amp; Description]]," The ",Table1[[#This Row],[Card Name]]," card´s suit is the suit of the ",Table1[[#This Row],[Suit]],"."," The card of ",Table1[[#This Row],[Card Name]]," is indicitive of ",Table1[[#This Row],[Indicitive of]],"."," The ",Table1[[#This Row],[Card Name]]," ",Table1[[#This Row],[Symbolic - Representitive Meaning]]," ",Table1[[#This Row],[Radiant Wise Description]]," "," The divine message to be found in this card is: "," "",[@[Divinatory Meaning]],"".")</f>
        <v>The Page/Child of Pentacles is the card of  The Page of Pentacles card´s suit is the suit of the Pentacles. The card of Page of Pentacles is indicitive of Prosperity, learning how the material world functions, (prince) Solid and reliable in practical matters, Order, (princess) Apprenticeship, New learning, Practical craft for trade. The Page of Pentacles Exploration, Seeking, Learning The child of earth holds an innocent nature. It reflects the parts of yourself that is lost in play, exploration and treasures of the material world. An upturn field behind the page is the bed of possibility. What will you plant? What do you want? And attentive student. Focusing on studies and school work. Thoughtful and curious nature. Focus and fascination. Playful and creative.  The divine message to be found in this card is:  ",[@[Divinatory Meaning]],".</v>
      </c>
      <c r="N79" s="21" t="s">
        <v>432</v>
      </c>
      <c r="O79" s="20" t="s">
        <v>511</v>
      </c>
      <c r="P79" s="20" t="s">
        <v>557</v>
      </c>
      <c r="Q79" s="20" t="s">
        <v>583</v>
      </c>
      <c r="R79" s="20" t="s">
        <v>823</v>
      </c>
      <c r="S79" s="20" t="s">
        <v>661</v>
      </c>
      <c r="T79" s="20"/>
      <c r="U79" s="20" t="s">
        <v>599</v>
      </c>
      <c r="V79" s="20" t="s">
        <v>600</v>
      </c>
      <c r="W79" s="2" t="str">
        <f>CONCATENATE("The ",Table1[[#This Row],[Card Name]]," is represented by the Zodiac sign ",Table1[[#This Row],[Zodiac Sign]]," and symbol ",Table1[[#This Row],[Zodiac Symbol(s)]],".", "The element of ",Table1[[#This Row],[Element]],"."," It has a Masculine quality and is associated with the color ", Table1[[#This Row],[Color]]," and the direction of ",Table1[[#This Row],[Direction]],"."," This sign is represented by the ",Table1[[#This Row],[Animal Reference]]," and the stone(s) of ",Table1[[#This Row],[Stone Reference]],"."," The Astrological influence is ",Table1[[#This Row],[Astrological Influence]]," .")</f>
        <v>The Page of Pentacles is represented by the Zodiac sign Virgo, Capricorn, Taurus and symbol ♍ ♑ ♉.The element of Earth. It has a Masculine quality and is associated with the color White and the direction of North. This sign is represented by the  and the stone(s) of . The Astrological influence is Female Earth of Earth, Male Air of Earth .</v>
      </c>
      <c r="X79" s="20"/>
      <c r="Y79" s="20"/>
      <c r="Z79" s="20"/>
      <c r="AA79" s="20"/>
      <c r="AB79" s="20"/>
    </row>
  </sheetData>
  <phoneticPr fontId="7" type="noConversion"/>
  <hyperlinks>
    <hyperlink ref="C2" r:id="rId1" xr:uid="{EF92A3AF-317B-4136-BC8D-13F443505376}"/>
  </hyperlinks>
  <pageMargins left="0.7" right="0.7" top="0.75" bottom="0.75" header="0.3" footer="0.3"/>
  <pageSetup orientation="portrait" r:id="rId2"/>
  <drawing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Katchina Knife Layout</vt:lpstr>
      <vt:lpstr>Card Key</vt:lpstr>
      <vt:lpstr>'Katchina Knife Layout'!Print_Area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Kelly Sprinkle</dc:creator>
  <cp:lastModifiedBy>Kelly Sprinkle</cp:lastModifiedBy>
  <cp:lastPrinted>2021-08-16T20:04:54Z</cp:lastPrinted>
  <dcterms:created xsi:type="dcterms:W3CDTF">2021-08-13T01:43:35Z</dcterms:created>
  <dcterms:modified xsi:type="dcterms:W3CDTF">2023-05-22T11:07:22Z</dcterms:modified>
</cp:coreProperties>
</file>